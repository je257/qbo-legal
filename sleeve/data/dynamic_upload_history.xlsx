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ode7477\Downloads\"/>
    </mc:Choice>
  </mc:AlternateContent>
  <xr:revisionPtr revIDLastSave="0" documentId="13_ncr:1_{16E72B78-D27F-4002-91B4-9525C7CB75C2}" xr6:coauthVersionLast="47" xr6:coauthVersionMax="47" xr10:uidLastSave="{00000000-0000-0000-0000-000000000000}"/>
  <bookViews>
    <workbookView xWindow="-120" yWindow="-120" windowWidth="29040" windowHeight="15720" xr2:uid="{087B5A2C-2410-4D92-86F5-E03EB8A27B4C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4" i="3" l="1"/>
  <c r="O154" i="3" s="1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T478" i="3" s="1"/>
  <c r="S477" i="3"/>
  <c r="T477" i="3" s="1"/>
  <c r="S476" i="3"/>
  <c r="T476" i="3" s="1"/>
  <c r="S475" i="3"/>
  <c r="T475" i="3" s="1"/>
  <c r="S474" i="3"/>
  <c r="T474" i="3" s="1"/>
  <c r="S473" i="3"/>
  <c r="T473" i="3" s="1"/>
  <c r="S472" i="3"/>
  <c r="T472" i="3" s="1"/>
  <c r="S471" i="3"/>
  <c r="T471" i="3" s="1"/>
  <c r="S470" i="3"/>
  <c r="T470" i="3" s="1"/>
  <c r="S469" i="3"/>
  <c r="T469" i="3" s="1"/>
  <c r="S468" i="3"/>
  <c r="T468" i="3" s="1"/>
  <c r="S467" i="3"/>
  <c r="T467" i="3" s="1"/>
  <c r="S466" i="3"/>
  <c r="T466" i="3" s="1"/>
  <c r="S465" i="3"/>
  <c r="T465" i="3" s="1"/>
  <c r="S464" i="3"/>
  <c r="T464" i="3" s="1"/>
  <c r="S463" i="3"/>
  <c r="T463" i="3" s="1"/>
  <c r="S462" i="3"/>
  <c r="T462" i="3" s="1"/>
  <c r="S461" i="3"/>
  <c r="T461" i="3" s="1"/>
  <c r="S460" i="3"/>
  <c r="T460" i="3" s="1"/>
  <c r="S459" i="3"/>
  <c r="T459" i="3" s="1"/>
  <c r="S458" i="3"/>
  <c r="T458" i="3" s="1"/>
  <c r="S457" i="3"/>
  <c r="T457" i="3" s="1"/>
  <c r="S456" i="3"/>
  <c r="T456" i="3" s="1"/>
  <c r="S455" i="3"/>
  <c r="T455" i="3" s="1"/>
  <c r="S454" i="3"/>
  <c r="T454" i="3" s="1"/>
  <c r="S453" i="3"/>
  <c r="T453" i="3" s="1"/>
  <c r="S452" i="3"/>
  <c r="T452" i="3" s="1"/>
  <c r="S451" i="3"/>
  <c r="T451" i="3" s="1"/>
  <c r="S450" i="3"/>
  <c r="T450" i="3" s="1"/>
  <c r="S449" i="3"/>
  <c r="T449" i="3" s="1"/>
  <c r="S448" i="3"/>
  <c r="T448" i="3" s="1"/>
  <c r="S447" i="3"/>
  <c r="T447" i="3" s="1"/>
  <c r="S446" i="3"/>
  <c r="T446" i="3" s="1"/>
  <c r="S445" i="3"/>
  <c r="T445" i="3" s="1"/>
  <c r="S444" i="3"/>
  <c r="T444" i="3" s="1"/>
  <c r="S443" i="3"/>
  <c r="T443" i="3" s="1"/>
  <c r="S442" i="3"/>
  <c r="T442" i="3" s="1"/>
  <c r="S441" i="3"/>
  <c r="T441" i="3" s="1"/>
  <c r="S440" i="3"/>
  <c r="T440" i="3" s="1"/>
  <c r="S439" i="3"/>
  <c r="T439" i="3" s="1"/>
  <c r="S438" i="3"/>
  <c r="T438" i="3" s="1"/>
  <c r="S437" i="3"/>
  <c r="T437" i="3" s="1"/>
  <c r="S436" i="3"/>
  <c r="T436" i="3" s="1"/>
  <c r="S435" i="3"/>
  <c r="T435" i="3" s="1"/>
  <c r="S434" i="3"/>
  <c r="T434" i="3" s="1"/>
  <c r="S433" i="3"/>
  <c r="T433" i="3" s="1"/>
  <c r="S432" i="3"/>
  <c r="T432" i="3" s="1"/>
  <c r="S431" i="3"/>
  <c r="T431" i="3" s="1"/>
  <c r="S430" i="3"/>
  <c r="T430" i="3" s="1"/>
  <c r="S429" i="3"/>
  <c r="T429" i="3" s="1"/>
  <c r="S428" i="3"/>
  <c r="T428" i="3" s="1"/>
  <c r="S427" i="3"/>
  <c r="T427" i="3" s="1"/>
  <c r="S426" i="3"/>
  <c r="T426" i="3" s="1"/>
  <c r="S425" i="3"/>
  <c r="T425" i="3" s="1"/>
  <c r="S424" i="3"/>
  <c r="T424" i="3" s="1"/>
  <c r="S423" i="3"/>
  <c r="T423" i="3" s="1"/>
  <c r="S422" i="3"/>
  <c r="T422" i="3" s="1"/>
  <c r="S421" i="3"/>
  <c r="T421" i="3" s="1"/>
  <c r="S420" i="3"/>
  <c r="T420" i="3" s="1"/>
  <c r="S419" i="3"/>
  <c r="T419" i="3" s="1"/>
  <c r="S418" i="3"/>
  <c r="T418" i="3" s="1"/>
  <c r="S417" i="3"/>
  <c r="T417" i="3" s="1"/>
  <c r="S416" i="3"/>
  <c r="T416" i="3" s="1"/>
  <c r="S415" i="3"/>
  <c r="T415" i="3" s="1"/>
  <c r="S414" i="3"/>
  <c r="T414" i="3" s="1"/>
  <c r="S413" i="3"/>
  <c r="T413" i="3" s="1"/>
  <c r="S412" i="3"/>
  <c r="T412" i="3" s="1"/>
  <c r="S411" i="3"/>
  <c r="T411" i="3" s="1"/>
  <c r="S410" i="3"/>
  <c r="T410" i="3" s="1"/>
  <c r="S409" i="3"/>
  <c r="T409" i="3" s="1"/>
  <c r="S408" i="3"/>
  <c r="T408" i="3" s="1"/>
  <c r="S407" i="3"/>
  <c r="T407" i="3" s="1"/>
  <c r="S406" i="3"/>
  <c r="T406" i="3" s="1"/>
  <c r="S405" i="3"/>
  <c r="T405" i="3" s="1"/>
  <c r="S404" i="3"/>
  <c r="T404" i="3" s="1"/>
  <c r="S403" i="3"/>
  <c r="T403" i="3" s="1"/>
  <c r="S402" i="3"/>
  <c r="T402" i="3" s="1"/>
  <c r="S401" i="3"/>
  <c r="T401" i="3" s="1"/>
  <c r="S400" i="3"/>
  <c r="T400" i="3" s="1"/>
  <c r="S399" i="3"/>
  <c r="T399" i="3" s="1"/>
  <c r="S398" i="3"/>
  <c r="T398" i="3" s="1"/>
  <c r="S397" i="3"/>
  <c r="T397" i="3" s="1"/>
  <c r="S396" i="3"/>
  <c r="T396" i="3" s="1"/>
  <c r="S395" i="3"/>
  <c r="T395" i="3" s="1"/>
  <c r="S394" i="3"/>
  <c r="T394" i="3" s="1"/>
  <c r="S393" i="3"/>
  <c r="T393" i="3" s="1"/>
  <c r="S392" i="3"/>
  <c r="T392" i="3" s="1"/>
  <c r="S391" i="3"/>
  <c r="T391" i="3" s="1"/>
  <c r="S390" i="3"/>
  <c r="T390" i="3" s="1"/>
  <c r="S389" i="3"/>
  <c r="T389" i="3" s="1"/>
  <c r="S388" i="3"/>
  <c r="T388" i="3" s="1"/>
  <c r="S387" i="3"/>
  <c r="T387" i="3" s="1"/>
  <c r="S386" i="3"/>
  <c r="T386" i="3" s="1"/>
  <c r="S385" i="3"/>
  <c r="T385" i="3" s="1"/>
  <c r="S384" i="3"/>
  <c r="T384" i="3" s="1"/>
  <c r="S383" i="3"/>
  <c r="T383" i="3" s="1"/>
  <c r="S382" i="3"/>
  <c r="T382" i="3" s="1"/>
  <c r="S381" i="3"/>
  <c r="T381" i="3" s="1"/>
  <c r="S380" i="3"/>
  <c r="T380" i="3" s="1"/>
  <c r="S379" i="3"/>
  <c r="T379" i="3" s="1"/>
  <c r="S378" i="3"/>
  <c r="T378" i="3" s="1"/>
  <c r="S377" i="3"/>
  <c r="T377" i="3" s="1"/>
  <c r="S376" i="3"/>
  <c r="T376" i="3" s="1"/>
  <c r="S375" i="3"/>
  <c r="T375" i="3" s="1"/>
  <c r="S374" i="3"/>
  <c r="T374" i="3" s="1"/>
  <c r="S373" i="3"/>
  <c r="T373" i="3" s="1"/>
  <c r="S372" i="3"/>
  <c r="T372" i="3" s="1"/>
  <c r="S371" i="3"/>
  <c r="T371" i="3" s="1"/>
  <c r="S370" i="3"/>
  <c r="T370" i="3" s="1"/>
  <c r="S369" i="3"/>
  <c r="T369" i="3" s="1"/>
  <c r="S368" i="3"/>
  <c r="T368" i="3" s="1"/>
  <c r="S367" i="3"/>
  <c r="T367" i="3" s="1"/>
  <c r="S366" i="3"/>
  <c r="T366" i="3" s="1"/>
  <c r="S365" i="3"/>
  <c r="T365" i="3" s="1"/>
  <c r="S364" i="3"/>
  <c r="T364" i="3" s="1"/>
  <c r="S363" i="3"/>
  <c r="T363" i="3" s="1"/>
  <c r="S362" i="3"/>
  <c r="T362" i="3" s="1"/>
  <c r="S361" i="3"/>
  <c r="T361" i="3" s="1"/>
  <c r="S360" i="3"/>
  <c r="T360" i="3" s="1"/>
  <c r="S359" i="3"/>
  <c r="T359" i="3" s="1"/>
  <c r="S358" i="3"/>
  <c r="T358" i="3" s="1"/>
  <c r="S357" i="3"/>
  <c r="T357" i="3" s="1"/>
  <c r="S356" i="3"/>
  <c r="T356" i="3" s="1"/>
  <c r="S355" i="3"/>
  <c r="T355" i="3" s="1"/>
  <c r="S354" i="3"/>
  <c r="T354" i="3" s="1"/>
  <c r="S353" i="3"/>
  <c r="T353" i="3" s="1"/>
  <c r="S352" i="3"/>
  <c r="T352" i="3" s="1"/>
  <c r="S351" i="3"/>
  <c r="T351" i="3" s="1"/>
  <c r="S350" i="3"/>
  <c r="T350" i="3" s="1"/>
  <c r="S349" i="3"/>
  <c r="T349" i="3" s="1"/>
  <c r="S348" i="3"/>
  <c r="T348" i="3" s="1"/>
  <c r="S347" i="3"/>
  <c r="T347" i="3" s="1"/>
  <c r="S346" i="3"/>
  <c r="T346" i="3" s="1"/>
  <c r="S345" i="3"/>
  <c r="T345" i="3" s="1"/>
  <c r="S344" i="3"/>
  <c r="T344" i="3" s="1"/>
  <c r="S343" i="3"/>
  <c r="T343" i="3" s="1"/>
  <c r="S342" i="3"/>
  <c r="T342" i="3" s="1"/>
  <c r="S341" i="3"/>
  <c r="T341" i="3" s="1"/>
  <c r="S340" i="3"/>
  <c r="T340" i="3" s="1"/>
  <c r="S339" i="3"/>
  <c r="T339" i="3" s="1"/>
  <c r="S338" i="3"/>
  <c r="T338" i="3" s="1"/>
  <c r="S337" i="3"/>
  <c r="T337" i="3" s="1"/>
  <c r="S336" i="3"/>
  <c r="T336" i="3" s="1"/>
  <c r="S335" i="3"/>
  <c r="T335" i="3" s="1"/>
  <c r="S334" i="3"/>
  <c r="T334" i="3" s="1"/>
  <c r="S333" i="3"/>
  <c r="T333" i="3" s="1"/>
  <c r="S332" i="3"/>
  <c r="T332" i="3" s="1"/>
  <c r="S331" i="3"/>
  <c r="T331" i="3" s="1"/>
  <c r="S330" i="3"/>
  <c r="T330" i="3" s="1"/>
  <c r="S329" i="3"/>
  <c r="T329" i="3" s="1"/>
  <c r="S328" i="3"/>
  <c r="T328" i="3" s="1"/>
  <c r="S327" i="3"/>
  <c r="T327" i="3" s="1"/>
  <c r="S326" i="3"/>
  <c r="T326" i="3" s="1"/>
  <c r="S325" i="3"/>
  <c r="T325" i="3" s="1"/>
  <c r="S324" i="3"/>
  <c r="T324" i="3" s="1"/>
  <c r="S323" i="3"/>
  <c r="T323" i="3" s="1"/>
  <c r="S322" i="3"/>
  <c r="T322" i="3" s="1"/>
  <c r="S321" i="3"/>
  <c r="T321" i="3" s="1"/>
  <c r="S320" i="3"/>
  <c r="T320" i="3" s="1"/>
  <c r="S319" i="3"/>
  <c r="T319" i="3" s="1"/>
  <c r="S318" i="3"/>
  <c r="T318" i="3" s="1"/>
  <c r="S317" i="3"/>
  <c r="T317" i="3" s="1"/>
  <c r="S316" i="3"/>
  <c r="T316" i="3" s="1"/>
  <c r="S315" i="3"/>
  <c r="T315" i="3" s="1"/>
  <c r="S314" i="3"/>
  <c r="T314" i="3" s="1"/>
  <c r="S313" i="3"/>
  <c r="T313" i="3" s="1"/>
  <c r="S312" i="3"/>
  <c r="T312" i="3" s="1"/>
  <c r="S311" i="3"/>
  <c r="T311" i="3" s="1"/>
  <c r="S310" i="3"/>
  <c r="T310" i="3" s="1"/>
  <c r="S309" i="3"/>
  <c r="T309" i="3" s="1"/>
  <c r="S308" i="3"/>
  <c r="T308" i="3" s="1"/>
  <c r="S307" i="3"/>
  <c r="T307" i="3" s="1"/>
  <c r="S306" i="3"/>
  <c r="T306" i="3" s="1"/>
  <c r="S305" i="3"/>
  <c r="T305" i="3" s="1"/>
  <c r="S304" i="3"/>
  <c r="T304" i="3" s="1"/>
  <c r="S303" i="3"/>
  <c r="T303" i="3" s="1"/>
  <c r="S302" i="3"/>
  <c r="T302" i="3" s="1"/>
  <c r="S301" i="3"/>
  <c r="T301" i="3" s="1"/>
  <c r="S300" i="3"/>
  <c r="T300" i="3" s="1"/>
  <c r="S299" i="3"/>
  <c r="T299" i="3" s="1"/>
  <c r="S298" i="3"/>
  <c r="T298" i="3" s="1"/>
  <c r="S297" i="3"/>
  <c r="T297" i="3" s="1"/>
  <c r="S296" i="3"/>
  <c r="T296" i="3" s="1"/>
  <c r="S295" i="3"/>
  <c r="T295" i="3" s="1"/>
  <c r="S294" i="3"/>
  <c r="T294" i="3" s="1"/>
  <c r="S293" i="3"/>
  <c r="T293" i="3" s="1"/>
  <c r="S292" i="3"/>
  <c r="T292" i="3" s="1"/>
  <c r="S291" i="3"/>
  <c r="T291" i="3" s="1"/>
  <c r="S290" i="3"/>
  <c r="T290" i="3" s="1"/>
  <c r="S289" i="3"/>
  <c r="T289" i="3" s="1"/>
  <c r="S288" i="3"/>
  <c r="T288" i="3" s="1"/>
  <c r="S287" i="3"/>
  <c r="T287" i="3" s="1"/>
  <c r="S286" i="3"/>
  <c r="T286" i="3" s="1"/>
  <c r="S285" i="3"/>
  <c r="T285" i="3" s="1"/>
  <c r="S284" i="3"/>
  <c r="T284" i="3" s="1"/>
  <c r="S283" i="3"/>
  <c r="T283" i="3" s="1"/>
  <c r="S282" i="3"/>
  <c r="T282" i="3" s="1"/>
  <c r="S281" i="3"/>
  <c r="T281" i="3" s="1"/>
  <c r="S280" i="3"/>
  <c r="T280" i="3" s="1"/>
  <c r="S279" i="3"/>
  <c r="T279" i="3" s="1"/>
  <c r="S278" i="3"/>
  <c r="T278" i="3" s="1"/>
  <c r="S277" i="3"/>
  <c r="T277" i="3" s="1"/>
  <c r="S276" i="3"/>
  <c r="T276" i="3" s="1"/>
  <c r="S275" i="3"/>
  <c r="T275" i="3" s="1"/>
  <c r="S274" i="3"/>
  <c r="T274" i="3" s="1"/>
  <c r="S273" i="3"/>
  <c r="T273" i="3" s="1"/>
  <c r="S272" i="3"/>
  <c r="T272" i="3" s="1"/>
  <c r="S271" i="3"/>
  <c r="T271" i="3" s="1"/>
  <c r="S270" i="3"/>
  <c r="T270" i="3" s="1"/>
  <c r="S269" i="3"/>
  <c r="T269" i="3" s="1"/>
  <c r="S268" i="3"/>
  <c r="T268" i="3" s="1"/>
  <c r="S267" i="3"/>
  <c r="T267" i="3" s="1"/>
  <c r="S266" i="3"/>
  <c r="T266" i="3" s="1"/>
  <c r="S265" i="3"/>
  <c r="T265" i="3" s="1"/>
  <c r="S264" i="3"/>
  <c r="T264" i="3" s="1"/>
  <c r="S263" i="3"/>
  <c r="T263" i="3" s="1"/>
  <c r="S262" i="3"/>
  <c r="T262" i="3" s="1"/>
  <c r="S261" i="3"/>
  <c r="T261" i="3" s="1"/>
  <c r="S260" i="3"/>
  <c r="T260" i="3" s="1"/>
  <c r="S259" i="3"/>
  <c r="T259" i="3" s="1"/>
  <c r="S258" i="3"/>
  <c r="T258" i="3" s="1"/>
  <c r="S257" i="3"/>
  <c r="T257" i="3" s="1"/>
  <c r="S256" i="3"/>
  <c r="T256" i="3" s="1"/>
  <c r="S255" i="3"/>
  <c r="T255" i="3" s="1"/>
  <c r="S254" i="3"/>
  <c r="T254" i="3" s="1"/>
  <c r="S253" i="3"/>
  <c r="T253" i="3" s="1"/>
  <c r="S252" i="3"/>
  <c r="T252" i="3" s="1"/>
  <c r="S251" i="3"/>
  <c r="T251" i="3" s="1"/>
  <c r="S250" i="3"/>
  <c r="T250" i="3" s="1"/>
  <c r="S249" i="3"/>
  <c r="T249" i="3" s="1"/>
  <c r="S248" i="3"/>
  <c r="T248" i="3" s="1"/>
  <c r="S247" i="3"/>
  <c r="T247" i="3" s="1"/>
  <c r="S246" i="3"/>
  <c r="T246" i="3" s="1"/>
  <c r="S245" i="3"/>
  <c r="T245" i="3" s="1"/>
  <c r="S244" i="3"/>
  <c r="T244" i="3" s="1"/>
  <c r="S243" i="3"/>
  <c r="T243" i="3" s="1"/>
  <c r="S242" i="3"/>
  <c r="T242" i="3" s="1"/>
  <c r="S241" i="3"/>
  <c r="T241" i="3" s="1"/>
  <c r="S240" i="3"/>
  <c r="T240" i="3" s="1"/>
  <c r="S239" i="3"/>
  <c r="T239" i="3" s="1"/>
  <c r="S238" i="3"/>
  <c r="T238" i="3" s="1"/>
  <c r="S237" i="3"/>
  <c r="T237" i="3" s="1"/>
  <c r="S236" i="3"/>
  <c r="T236" i="3" s="1"/>
  <c r="S235" i="3"/>
  <c r="T235" i="3" s="1"/>
  <c r="S234" i="3"/>
  <c r="T234" i="3" s="1"/>
  <c r="S233" i="3"/>
  <c r="T233" i="3" s="1"/>
  <c r="S232" i="3"/>
  <c r="T232" i="3" s="1"/>
  <c r="S231" i="3"/>
  <c r="T231" i="3" s="1"/>
  <c r="S230" i="3"/>
  <c r="T230" i="3" s="1"/>
  <c r="S229" i="3"/>
  <c r="T229" i="3" s="1"/>
  <c r="S228" i="3"/>
  <c r="T228" i="3" s="1"/>
  <c r="S227" i="3"/>
  <c r="T227" i="3" s="1"/>
  <c r="S226" i="3"/>
  <c r="T226" i="3" s="1"/>
  <c r="S225" i="3"/>
  <c r="T225" i="3" s="1"/>
  <c r="S224" i="3"/>
  <c r="T224" i="3" s="1"/>
  <c r="S223" i="3"/>
  <c r="T223" i="3" s="1"/>
  <c r="S222" i="3"/>
  <c r="T222" i="3" s="1"/>
  <c r="S221" i="3"/>
  <c r="T221" i="3" s="1"/>
  <c r="S220" i="3"/>
  <c r="T220" i="3" s="1"/>
  <c r="S219" i="3"/>
  <c r="T219" i="3" s="1"/>
  <c r="S218" i="3"/>
  <c r="T218" i="3" s="1"/>
  <c r="S217" i="3"/>
  <c r="T217" i="3" s="1"/>
  <c r="S216" i="3"/>
  <c r="T216" i="3" s="1"/>
  <c r="S215" i="3"/>
  <c r="T215" i="3" s="1"/>
  <c r="S214" i="3"/>
  <c r="T214" i="3" s="1"/>
  <c r="S213" i="3"/>
  <c r="T213" i="3" s="1"/>
  <c r="S212" i="3"/>
  <c r="T212" i="3" s="1"/>
  <c r="S211" i="3"/>
  <c r="T211" i="3" s="1"/>
  <c r="S210" i="3"/>
  <c r="T210" i="3" s="1"/>
  <c r="S209" i="3"/>
  <c r="T209" i="3" s="1"/>
  <c r="S208" i="3"/>
  <c r="T208" i="3" s="1"/>
  <c r="S207" i="3"/>
  <c r="T207" i="3" s="1"/>
  <c r="S206" i="3"/>
  <c r="T206" i="3" s="1"/>
  <c r="S205" i="3"/>
  <c r="T205" i="3" s="1"/>
  <c r="S204" i="3"/>
  <c r="T204" i="3" s="1"/>
  <c r="S203" i="3"/>
  <c r="T203" i="3" s="1"/>
  <c r="S202" i="3"/>
  <c r="T202" i="3" s="1"/>
  <c r="S201" i="3"/>
  <c r="T201" i="3" s="1"/>
  <c r="S200" i="3"/>
  <c r="T200" i="3" s="1"/>
  <c r="S199" i="3"/>
  <c r="T199" i="3" s="1"/>
  <c r="S198" i="3"/>
  <c r="T198" i="3" s="1"/>
  <c r="S197" i="3"/>
  <c r="T197" i="3" s="1"/>
  <c r="S196" i="3"/>
  <c r="T196" i="3" s="1"/>
  <c r="S195" i="3"/>
  <c r="T195" i="3" s="1"/>
  <c r="S194" i="3"/>
  <c r="T194" i="3" s="1"/>
  <c r="S193" i="3"/>
  <c r="T193" i="3" s="1"/>
  <c r="S192" i="3"/>
  <c r="T192" i="3" s="1"/>
  <c r="S191" i="3"/>
  <c r="T191" i="3" s="1"/>
  <c r="S190" i="3"/>
  <c r="T190" i="3" s="1"/>
  <c r="S189" i="3"/>
  <c r="T189" i="3" s="1"/>
  <c r="S188" i="3"/>
  <c r="T188" i="3" s="1"/>
  <c r="S187" i="3"/>
  <c r="T187" i="3" s="1"/>
  <c r="S186" i="3"/>
  <c r="T186" i="3" s="1"/>
  <c r="S185" i="3"/>
  <c r="T185" i="3" s="1"/>
  <c r="S184" i="3"/>
  <c r="T184" i="3" s="1"/>
  <c r="S183" i="3"/>
  <c r="T183" i="3" s="1"/>
  <c r="S182" i="3"/>
  <c r="T182" i="3" s="1"/>
  <c r="S181" i="3"/>
  <c r="T181" i="3" s="1"/>
  <c r="S180" i="3"/>
  <c r="T180" i="3" s="1"/>
  <c r="S179" i="3"/>
  <c r="T179" i="3" s="1"/>
  <c r="S178" i="3"/>
  <c r="T178" i="3" s="1"/>
  <c r="S177" i="3"/>
  <c r="T177" i="3" s="1"/>
  <c r="S176" i="3"/>
  <c r="T176" i="3" s="1"/>
  <c r="S175" i="3"/>
  <c r="T175" i="3" s="1"/>
  <c r="S174" i="3"/>
  <c r="T174" i="3" s="1"/>
  <c r="S173" i="3"/>
  <c r="T173" i="3" s="1"/>
  <c r="S172" i="3"/>
  <c r="T172" i="3" s="1"/>
  <c r="S171" i="3"/>
  <c r="T171" i="3" s="1"/>
  <c r="S170" i="3"/>
  <c r="T170" i="3" s="1"/>
  <c r="S169" i="3"/>
  <c r="T169" i="3" s="1"/>
  <c r="S168" i="3"/>
  <c r="T168" i="3" s="1"/>
  <c r="S167" i="3"/>
  <c r="T167" i="3" s="1"/>
  <c r="S166" i="3"/>
  <c r="T166" i="3" s="1"/>
  <c r="S165" i="3"/>
  <c r="T165" i="3" s="1"/>
  <c r="S164" i="3"/>
  <c r="T164" i="3" s="1"/>
  <c r="S163" i="3"/>
  <c r="T163" i="3" s="1"/>
  <c r="S162" i="3"/>
  <c r="T162" i="3" s="1"/>
  <c r="S161" i="3"/>
  <c r="T161" i="3" s="1"/>
  <c r="S160" i="3"/>
  <c r="T160" i="3" s="1"/>
  <c r="S159" i="3"/>
  <c r="T159" i="3" s="1"/>
  <c r="S158" i="3"/>
  <c r="T158" i="3" s="1"/>
  <c r="S157" i="3"/>
  <c r="T157" i="3" s="1"/>
  <c r="S156" i="3"/>
  <c r="T156" i="3" s="1"/>
  <c r="S155" i="3"/>
  <c r="T155" i="3" s="1"/>
  <c r="S154" i="3"/>
  <c r="T154" i="3" s="1"/>
  <c r="N153" i="3"/>
  <c r="O153" i="3" s="1"/>
  <c r="N152" i="3"/>
  <c r="O152" i="3" s="1"/>
  <c r="N151" i="3"/>
  <c r="O151" i="3" s="1"/>
  <c r="N150" i="3"/>
  <c r="O150" i="3" s="1"/>
  <c r="N149" i="3"/>
  <c r="O149" i="3" s="1"/>
  <c r="N148" i="3"/>
  <c r="O148" i="3" s="1"/>
  <c r="N147" i="3"/>
  <c r="O147" i="3" s="1"/>
  <c r="N146" i="3"/>
  <c r="O146" i="3" s="1"/>
  <c r="N145" i="3"/>
  <c r="O145" i="3" s="1"/>
  <c r="N144" i="3"/>
  <c r="O144" i="3" s="1"/>
  <c r="N143" i="3"/>
  <c r="O143" i="3" s="1"/>
  <c r="N142" i="3"/>
  <c r="O142" i="3" s="1"/>
  <c r="N141" i="3"/>
  <c r="O141" i="3" s="1"/>
  <c r="N140" i="3"/>
  <c r="O140" i="3" s="1"/>
  <c r="N139" i="3"/>
  <c r="O139" i="3" s="1"/>
  <c r="N138" i="3"/>
  <c r="O138" i="3" s="1"/>
  <c r="N137" i="3"/>
  <c r="O137" i="3" s="1"/>
  <c r="N136" i="3"/>
  <c r="O136" i="3" s="1"/>
  <c r="N135" i="3"/>
  <c r="O135" i="3" s="1"/>
  <c r="N134" i="3"/>
  <c r="O134" i="3" s="1"/>
  <c r="N133" i="3"/>
  <c r="O133" i="3" s="1"/>
  <c r="N132" i="3"/>
  <c r="O132" i="3" s="1"/>
  <c r="N131" i="3"/>
  <c r="O131" i="3" s="1"/>
  <c r="N130" i="3"/>
  <c r="O130" i="3" s="1"/>
  <c r="N129" i="3"/>
  <c r="O129" i="3" s="1"/>
  <c r="N128" i="3"/>
  <c r="O128" i="3" s="1"/>
  <c r="N127" i="3"/>
  <c r="O127" i="3" s="1"/>
  <c r="N126" i="3"/>
  <c r="O126" i="3" s="1"/>
  <c r="N125" i="3"/>
  <c r="O125" i="3" s="1"/>
  <c r="N124" i="3"/>
  <c r="O124" i="3" s="1"/>
  <c r="N123" i="3"/>
  <c r="O123" i="3" s="1"/>
  <c r="N122" i="3"/>
  <c r="O122" i="3" s="1"/>
  <c r="N121" i="3"/>
  <c r="O121" i="3" s="1"/>
  <c r="N120" i="3"/>
  <c r="O120" i="3" s="1"/>
  <c r="N119" i="3"/>
  <c r="O119" i="3" s="1"/>
  <c r="N118" i="3"/>
  <c r="O118" i="3" s="1"/>
  <c r="N117" i="3"/>
  <c r="O117" i="3" s="1"/>
  <c r="N116" i="3"/>
  <c r="O116" i="3" s="1"/>
  <c r="N115" i="3"/>
  <c r="O115" i="3" s="1"/>
  <c r="N114" i="3"/>
  <c r="O114" i="3" s="1"/>
  <c r="O113" i="3"/>
  <c r="P113" i="3" s="1"/>
  <c r="S112" i="3"/>
  <c r="T112" i="3" s="1"/>
  <c r="S111" i="3"/>
  <c r="T111" i="3" s="1"/>
  <c r="S110" i="3"/>
  <c r="T110" i="3" s="1"/>
  <c r="S109" i="3"/>
  <c r="T109" i="3" s="1"/>
  <c r="S108" i="3"/>
  <c r="T108" i="3" s="1"/>
  <c r="S107" i="3"/>
  <c r="T107" i="3" s="1"/>
  <c r="S106" i="3"/>
  <c r="T106" i="3" s="1"/>
  <c r="S105" i="3"/>
  <c r="T105" i="3" s="1"/>
  <c r="S104" i="3"/>
  <c r="T104" i="3" s="1"/>
  <c r="S103" i="3"/>
  <c r="T103" i="3" s="1"/>
  <c r="S102" i="3"/>
  <c r="T102" i="3" s="1"/>
  <c r="S101" i="3"/>
  <c r="T101" i="3" s="1"/>
  <c r="S100" i="3"/>
  <c r="T100" i="3" s="1"/>
  <c r="S99" i="3"/>
  <c r="T99" i="3" s="1"/>
  <c r="S98" i="3"/>
  <c r="T98" i="3" s="1"/>
  <c r="S97" i="3"/>
  <c r="T97" i="3" s="1"/>
  <c r="S96" i="3"/>
  <c r="T96" i="3" s="1"/>
  <c r="S95" i="3"/>
  <c r="T95" i="3" s="1"/>
  <c r="S94" i="3"/>
  <c r="T94" i="3" s="1"/>
  <c r="S93" i="3"/>
  <c r="T93" i="3" s="1"/>
  <c r="S92" i="3"/>
  <c r="T92" i="3" s="1"/>
  <c r="S91" i="3"/>
  <c r="T91" i="3" s="1"/>
  <c r="S90" i="3"/>
  <c r="T90" i="3" s="1"/>
  <c r="S89" i="3"/>
  <c r="T89" i="3" s="1"/>
  <c r="S88" i="3"/>
  <c r="T88" i="3" s="1"/>
  <c r="S87" i="3"/>
  <c r="T87" i="3" s="1"/>
  <c r="S86" i="3"/>
  <c r="T86" i="3" s="1"/>
  <c r="S85" i="3"/>
  <c r="T85" i="3" s="1"/>
  <c r="S84" i="3"/>
  <c r="T84" i="3" s="1"/>
  <c r="S83" i="3"/>
  <c r="T83" i="3" s="1"/>
  <c r="S82" i="3"/>
  <c r="T82" i="3" s="1"/>
  <c r="S81" i="3"/>
  <c r="T81" i="3" s="1"/>
  <c r="S80" i="3"/>
  <c r="T80" i="3" s="1"/>
  <c r="S79" i="3"/>
  <c r="T79" i="3" s="1"/>
  <c r="S78" i="3"/>
  <c r="T78" i="3" s="1"/>
  <c r="S77" i="3"/>
  <c r="T77" i="3" s="1"/>
  <c r="S76" i="3"/>
  <c r="T76" i="3" s="1"/>
  <c r="S75" i="3"/>
  <c r="T75" i="3" s="1"/>
  <c r="S74" i="3"/>
  <c r="T74" i="3" s="1"/>
  <c r="S73" i="3"/>
  <c r="T73" i="3" s="1"/>
  <c r="S72" i="3"/>
  <c r="T72" i="3" s="1"/>
  <c r="S71" i="3"/>
  <c r="T71" i="3" s="1"/>
  <c r="S70" i="3"/>
  <c r="T70" i="3" s="1"/>
  <c r="S69" i="3"/>
  <c r="T69" i="3" s="1"/>
  <c r="S68" i="3"/>
  <c r="T68" i="3" s="1"/>
  <c r="S67" i="3"/>
  <c r="T67" i="3" s="1"/>
  <c r="S66" i="3"/>
  <c r="T66" i="3" s="1"/>
  <c r="S65" i="3"/>
  <c r="T65" i="3" s="1"/>
  <c r="S64" i="3"/>
  <c r="T64" i="3" s="1"/>
  <c r="S63" i="3"/>
  <c r="T63" i="3" s="1"/>
  <c r="S62" i="3"/>
  <c r="T62" i="3" s="1"/>
  <c r="S61" i="3"/>
  <c r="T61" i="3" s="1"/>
  <c r="S60" i="3"/>
  <c r="T60" i="3" s="1"/>
  <c r="S59" i="3"/>
  <c r="T59" i="3" s="1"/>
  <c r="S58" i="3"/>
  <c r="T58" i="3" s="1"/>
  <c r="S57" i="3"/>
  <c r="T57" i="3" s="1"/>
  <c r="S56" i="3"/>
  <c r="T56" i="3" s="1"/>
  <c r="S55" i="3"/>
  <c r="T55" i="3" s="1"/>
  <c r="S54" i="3"/>
  <c r="T54" i="3" s="1"/>
  <c r="S53" i="3"/>
  <c r="T53" i="3" s="1"/>
  <c r="S52" i="3"/>
  <c r="T52" i="3" s="1"/>
  <c r="S51" i="3"/>
  <c r="T51" i="3" s="1"/>
  <c r="S50" i="3"/>
  <c r="T50" i="3" s="1"/>
  <c r="S49" i="3"/>
  <c r="T49" i="3" s="1"/>
  <c r="S48" i="3"/>
  <c r="T48" i="3" s="1"/>
  <c r="S47" i="3"/>
  <c r="T47" i="3" s="1"/>
  <c r="S46" i="3"/>
  <c r="T46" i="3" s="1"/>
  <c r="S45" i="3"/>
  <c r="T45" i="3" s="1"/>
  <c r="S44" i="3"/>
  <c r="T44" i="3" s="1"/>
  <c r="S43" i="3"/>
  <c r="T43" i="3" s="1"/>
  <c r="S42" i="3"/>
  <c r="T42" i="3" s="1"/>
  <c r="S41" i="3"/>
  <c r="T41" i="3" s="1"/>
  <c r="S40" i="3"/>
  <c r="T40" i="3" s="1"/>
  <c r="S39" i="3"/>
  <c r="T39" i="3" s="1"/>
  <c r="S38" i="3"/>
  <c r="T38" i="3" s="1"/>
  <c r="S37" i="3"/>
  <c r="T37" i="3" s="1"/>
  <c r="S36" i="3"/>
  <c r="T36" i="3" s="1"/>
  <c r="S35" i="3"/>
  <c r="T35" i="3" s="1"/>
  <c r="S34" i="3"/>
  <c r="T34" i="3" s="1"/>
  <c r="S33" i="3"/>
  <c r="T33" i="3" s="1"/>
  <c r="S32" i="3"/>
  <c r="T32" i="3" s="1"/>
  <c r="S31" i="3"/>
  <c r="T31" i="3" s="1"/>
  <c r="S30" i="3"/>
  <c r="T30" i="3" s="1"/>
  <c r="S29" i="3"/>
  <c r="T29" i="3" s="1"/>
  <c r="S28" i="3"/>
  <c r="T28" i="3" s="1"/>
  <c r="S27" i="3"/>
  <c r="T27" i="3" s="1"/>
  <c r="S26" i="3"/>
  <c r="T26" i="3" s="1"/>
  <c r="S25" i="3"/>
  <c r="T25" i="3" s="1"/>
  <c r="S24" i="3"/>
  <c r="T24" i="3" s="1"/>
  <c r="S23" i="3"/>
  <c r="T23" i="3" s="1"/>
  <c r="S22" i="3"/>
  <c r="T22" i="3" s="1"/>
  <c r="S21" i="3"/>
  <c r="T21" i="3" s="1"/>
  <c r="S20" i="3"/>
  <c r="T20" i="3" s="1"/>
  <c r="S19" i="3"/>
  <c r="T19" i="3" s="1"/>
  <c r="S18" i="3"/>
  <c r="T18" i="3" s="1"/>
  <c r="S17" i="3"/>
  <c r="T17" i="3" s="1"/>
  <c r="S16" i="3"/>
  <c r="T16" i="3" s="1"/>
  <c r="S15" i="3"/>
  <c r="T15" i="3" s="1"/>
  <c r="S14" i="3"/>
  <c r="T14" i="3" s="1"/>
  <c r="S13" i="3"/>
  <c r="T13" i="3" s="1"/>
  <c r="S12" i="3"/>
  <c r="T12" i="3" s="1"/>
  <c r="S11" i="3"/>
  <c r="T11" i="3" s="1"/>
  <c r="S10" i="3"/>
  <c r="T10" i="3" s="1"/>
  <c r="S9" i="3"/>
  <c r="T9" i="3" s="1"/>
  <c r="S8" i="3"/>
  <c r="T8" i="3" s="1"/>
  <c r="R1" i="3" a="1"/>
  <c r="S5" i="3" s="1"/>
  <c r="T5" i="3" s="1"/>
  <c r="S7" i="3" l="1"/>
  <c r="T7" i="3" s="1"/>
  <c r="S6" i="3"/>
  <c r="T6" i="3" s="1"/>
  <c r="S3" i="3"/>
  <c r="T3" i="3" s="1"/>
  <c r="S4" i="3"/>
  <c r="T4" i="3" s="1"/>
  <c r="S2" i="3"/>
  <c r="T2" i="3" s="1"/>
  <c r="R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<sst xmlns="http://schemas.openxmlformats.org/spreadsheetml/2006/main" count="268" uniqueCount="139">
  <si>
    <t>Date</t>
  </si>
  <si>
    <t>Symbol</t>
  </si>
  <si>
    <t>Target Weight</t>
  </si>
  <si>
    <t xml:space="preserve">Instructions </t>
  </si>
  <si>
    <t>1) Insert the dates associated with all allocation changes in column A below the ''date" header.</t>
  </si>
  <si>
    <t>3) If using Weights, insert in decimal format (e.g, .05 for 5%).</t>
  </si>
  <si>
    <t>4) After updating the template, save the file before uploading.</t>
  </si>
  <si>
    <t>To include CASH use Symbol: $:CASH</t>
  </si>
  <si>
    <t>2) Target  weights associated with each date on upload file must sum to 1</t>
  </si>
  <si>
    <t>Sum Weights</t>
  </si>
  <si>
    <t>Check</t>
  </si>
  <si>
    <t xml:space="preserve">AEP </t>
  </si>
  <si>
    <t xml:space="preserve">ALL </t>
  </si>
  <si>
    <t xml:space="preserve">AMZN </t>
  </si>
  <si>
    <t xml:space="preserve">APD </t>
  </si>
  <si>
    <t xml:space="preserve">APP </t>
  </si>
  <si>
    <t xml:space="preserve">AXP </t>
  </si>
  <si>
    <t xml:space="preserve">BLK </t>
  </si>
  <si>
    <t xml:space="preserve">CMCSA </t>
  </si>
  <si>
    <t xml:space="preserve">COST </t>
  </si>
  <si>
    <t xml:space="preserve">EOG </t>
  </si>
  <si>
    <t xml:space="preserve">FTNT </t>
  </si>
  <si>
    <t xml:space="preserve">GE </t>
  </si>
  <si>
    <t xml:space="preserve">HON </t>
  </si>
  <si>
    <t xml:space="preserve">JPM </t>
  </si>
  <si>
    <t xml:space="preserve">LLY </t>
  </si>
  <si>
    <t xml:space="preserve">LRCX </t>
  </si>
  <si>
    <t xml:space="preserve">META </t>
  </si>
  <si>
    <t xml:space="preserve">MRK </t>
  </si>
  <si>
    <t xml:space="preserve">MSFT </t>
  </si>
  <si>
    <t xml:space="preserve">NFLX </t>
  </si>
  <si>
    <t xml:space="preserve">NOC </t>
  </si>
  <si>
    <t xml:space="preserve">NVDA </t>
  </si>
  <si>
    <t xml:space="preserve">PEP </t>
  </si>
  <si>
    <t xml:space="preserve">PG </t>
  </si>
  <si>
    <t xml:space="preserve">PH </t>
  </si>
  <si>
    <t xml:space="preserve">QCOM </t>
  </si>
  <si>
    <t xml:space="preserve">RSG </t>
  </si>
  <si>
    <t xml:space="preserve">UNP </t>
  </si>
  <si>
    <t xml:space="preserve">V </t>
  </si>
  <si>
    <t xml:space="preserve">ANET </t>
  </si>
  <si>
    <t xml:space="preserve">CPRT </t>
  </si>
  <si>
    <t xml:space="preserve">KLAC </t>
  </si>
  <si>
    <t xml:space="preserve">AAPL </t>
  </si>
  <si>
    <t xml:space="preserve">ADP </t>
  </si>
  <si>
    <t xml:space="preserve">AMP </t>
  </si>
  <si>
    <t xml:space="preserve">APH </t>
  </si>
  <si>
    <t xml:space="preserve">CAT </t>
  </si>
  <si>
    <t xml:space="preserve">ECL </t>
  </si>
  <si>
    <t xml:space="preserve">ISRG </t>
  </si>
  <si>
    <t xml:space="preserve">JNJ </t>
  </si>
  <si>
    <t xml:space="preserve">MCO </t>
  </si>
  <si>
    <t xml:space="preserve">MET </t>
  </si>
  <si>
    <t xml:space="preserve">NKE </t>
  </si>
  <si>
    <t xml:space="preserve">SHW </t>
  </si>
  <si>
    <t xml:space="preserve">ZTS </t>
  </si>
  <si>
    <t>MSFT</t>
  </si>
  <si>
    <t>NVDA</t>
  </si>
  <si>
    <t>META</t>
  </si>
  <si>
    <t>AMZN</t>
  </si>
  <si>
    <t>MRK</t>
  </si>
  <si>
    <t>TMO</t>
  </si>
  <si>
    <t>UNP</t>
  </si>
  <si>
    <t>ZTS</t>
  </si>
  <si>
    <t>ANET</t>
  </si>
  <si>
    <t>ADSK</t>
  </si>
  <si>
    <t>BLK</t>
  </si>
  <si>
    <t>FTNT</t>
  </si>
  <si>
    <t>HON</t>
  </si>
  <si>
    <t>NOC</t>
  </si>
  <si>
    <t>AXP</t>
  </si>
  <si>
    <t>APH</t>
  </si>
  <si>
    <t>AAPL</t>
  </si>
  <si>
    <t>AMAT</t>
  </si>
  <si>
    <t>ADP</t>
  </si>
  <si>
    <t>CAT</t>
  </si>
  <si>
    <t>ECL</t>
  </si>
  <si>
    <t>LLY</t>
  </si>
  <si>
    <t>JPM</t>
  </si>
  <si>
    <t>LRCX</t>
  </si>
  <si>
    <t>MCO</t>
  </si>
  <si>
    <t>RSG</t>
  </si>
  <si>
    <t>PG</t>
  </si>
  <si>
    <t>V</t>
  </si>
  <si>
    <t>CMCSA</t>
  </si>
  <si>
    <t>COST</t>
  </si>
  <si>
    <t>GE</t>
  </si>
  <si>
    <t>IDXX</t>
  </si>
  <si>
    <t>ISRG</t>
  </si>
  <si>
    <t>JNJ</t>
  </si>
  <si>
    <t>KLAC</t>
  </si>
  <si>
    <t>ALL</t>
  </si>
  <si>
    <t>AEP</t>
  </si>
  <si>
    <t>HWM</t>
  </si>
  <si>
    <t>MET</t>
  </si>
  <si>
    <t>QCOM</t>
  </si>
  <si>
    <t>AVGO</t>
  </si>
  <si>
    <t>ADBE</t>
  </si>
  <si>
    <t>INTU</t>
  </si>
  <si>
    <t>DE</t>
  </si>
  <si>
    <t>SYK</t>
  </si>
  <si>
    <t>CI</t>
  </si>
  <si>
    <t>CTAS</t>
  </si>
  <si>
    <t>ROST</t>
  </si>
  <si>
    <t>GOOGL</t>
  </si>
  <si>
    <t>DDOG</t>
  </si>
  <si>
    <t>PANW</t>
  </si>
  <si>
    <t>SCHW</t>
  </si>
  <si>
    <t>BR</t>
  </si>
  <si>
    <t>PEP</t>
  </si>
  <si>
    <t>BKNG</t>
  </si>
  <si>
    <t>BKR</t>
  </si>
  <si>
    <t>MS</t>
  </si>
  <si>
    <t>IBKR</t>
  </si>
  <si>
    <t>BX</t>
  </si>
  <si>
    <t>UNH</t>
  </si>
  <si>
    <t>KMI</t>
  </si>
  <si>
    <t>CEG</t>
  </si>
  <si>
    <t>NFLX</t>
  </si>
  <si>
    <t>YUM</t>
  </si>
  <si>
    <t>DKS</t>
  </si>
  <si>
    <t>ULTA</t>
  </si>
  <si>
    <t>VRT</t>
  </si>
  <si>
    <t>ABBV</t>
  </si>
  <si>
    <t>DHR</t>
  </si>
  <si>
    <t>AMGN</t>
  </si>
  <si>
    <t>WMT</t>
  </si>
  <si>
    <t>NEE</t>
  </si>
  <si>
    <t>LMT</t>
  </si>
  <si>
    <t>OTIS</t>
  </si>
  <si>
    <t>HD</t>
  </si>
  <si>
    <t>UI</t>
  </si>
  <si>
    <t>TROW</t>
  </si>
  <si>
    <t>CVX</t>
  </si>
  <si>
    <t>XOM</t>
  </si>
  <si>
    <t>NEM</t>
  </si>
  <si>
    <t>CTVA</t>
  </si>
  <si>
    <t xml:space="preserve">BNY </t>
  </si>
  <si>
    <t>BNY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</si>
</sst>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2" borderId="7" xfId="0" applyFill="1" applyBorder="1"/>
    <xf numFmtId="0" fontId="0" fillId="2" borderId="0" xfId="0" applyFill="1"/>
    <xf numFmtId="0" fontId="0" fillId="2" borderId="8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9" fontId="0" fillId="0" borderId="0" xfId="2" applyFont="1" applyAlignment="1">
      <alignment horizontal="center"/>
    </xf>
    <xf numFmtId="10" fontId="0" fillId="0" borderId="0" xfId="2" applyNumberFormat="1" applyFont="1"/>
    <xf numFmtId="10" fontId="0" fillId="0" borderId="0" xfId="2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3">
    <cellStyle name="Normal" xfId="0" builtinId="0"/>
    <cellStyle name="Normal 2" xfId="1" xr:uid="{BB115945-4FFC-4D5A-929D-DDE422E2EDE3}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C57F-EEDA-414E-B574-AB4C52C2DE0F}">
  <dimension ref="A1:T553"/>
  <sheetViews>
    <sheetView tabSelected="1" topLeftCell="A150" workbookViewId="0">
      <selection activeCell="K169" sqref="K169"/>
    </sheetView>
  </sheetViews>
  <sheetFormatPr defaultRowHeight="15" x14ac:dyDescent="0.25"/>
  <cols>
    <col min="1" max="1" width="10.5703125" customWidth="1"/>
    <col min="2" max="2" width="12.7109375" customWidth="1"/>
    <col min="3" max="3" width="10.5703125" bestFit="1" customWidth="1"/>
    <col min="18" max="18" width="9.28515625" bestFit="1" customWidth="1"/>
  </cols>
  <sheetData>
    <row r="1" spans="1:20" ht="15.75" x14ac:dyDescent="0.25">
      <c r="A1" t="s">
        <v>0</v>
      </c>
      <c r="B1" t="s">
        <v>1</v>
      </c>
      <c r="C1" s="15" t="s">
        <v>2</v>
      </c>
      <c r="D1" s="1"/>
      <c r="E1" s="1"/>
      <c r="F1" s="1"/>
      <c r="G1" s="1"/>
      <c r="H1" s="17" t="s">
        <v>3</v>
      </c>
      <c r="I1" s="18"/>
      <c r="J1" s="18"/>
      <c r="K1" s="18"/>
      <c r="L1" s="18"/>
      <c r="M1" s="18"/>
      <c r="N1" s="18"/>
      <c r="O1" s="19"/>
      <c r="P1" s="1"/>
      <c r="Q1" s="1"/>
      <c r="R1" s="1" t="str" cm="1">
        <f t="array" ref="R1:R7">_xlfn.UNIQUE(_xlfn._xlws.FILTER(A:A,A:A&lt;&gt;0))</f>
        <v>Date</v>
      </c>
      <c r="S1" s="14" t="s">
        <v>9</v>
      </c>
      <c r="T1" s="1" t="s">
        <v>10</v>
      </c>
    </row>
    <row r="2" spans="1:20" x14ac:dyDescent="0.25">
      <c r="A2" s="1">
        <v>45748</v>
      </c>
      <c r="B2" t="s">
        <v>11</v>
      </c>
      <c r="C2" s="16">
        <v>2.8799999999999999E-2</v>
      </c>
      <c r="D2" s="2"/>
      <c r="F2" s="1"/>
      <c r="H2" s="4" t="s">
        <v>4</v>
      </c>
      <c r="I2" s="3"/>
      <c r="J2" s="3"/>
      <c r="K2" s="3"/>
      <c r="L2" s="3"/>
      <c r="M2" s="3"/>
      <c r="N2" s="3"/>
      <c r="O2" s="5"/>
      <c r="R2" s="1">
        <v>45748</v>
      </c>
      <c r="S2" s="16">
        <f t="shared" ref="S2:S33" si="0">IF(R2="","",SUMIF(A:A,R2,C:C))</f>
        <v>1.0000000000000007</v>
      </c>
      <c r="T2" t="str">
        <f>IF(S2="","",IF(S2=1,"Portfolio weights sum to 100%", "Portfolio weights do not sum to 100%"))</f>
        <v>Portfolio weights sum to 100%</v>
      </c>
    </row>
    <row r="3" spans="1:20" x14ac:dyDescent="0.25">
      <c r="A3" s="1">
        <v>45748</v>
      </c>
      <c r="B3" t="s">
        <v>12</v>
      </c>
      <c r="C3" s="16">
        <v>3.5900000000000001E-2</v>
      </c>
      <c r="D3" s="2"/>
      <c r="F3" s="1"/>
      <c r="H3" s="6" t="s">
        <v>8</v>
      </c>
      <c r="I3" s="7"/>
      <c r="J3" s="7"/>
      <c r="K3" s="7"/>
      <c r="L3" s="7"/>
      <c r="M3" s="7"/>
      <c r="N3" s="7"/>
      <c r="O3" s="8"/>
      <c r="R3" s="1">
        <v>45853</v>
      </c>
      <c r="S3" s="16">
        <f t="shared" si="0"/>
        <v>0.99999999999999967</v>
      </c>
      <c r="T3" t="str">
        <f t="shared" ref="T3:T52" si="1">IF(S3="","",IF(S3=1,"Portfolio weights sum to 100%", "Portfolio weights do not sum to 100%"))</f>
        <v>Portfolio weights sum to 100%</v>
      </c>
    </row>
    <row r="4" spans="1:20" x14ac:dyDescent="0.25">
      <c r="A4" s="1">
        <v>45748</v>
      </c>
      <c r="B4" t="s">
        <v>13</v>
      </c>
      <c r="C4" s="16">
        <v>3.5900000000000001E-2</v>
      </c>
      <c r="D4" s="2"/>
      <c r="F4" s="1"/>
      <c r="H4" s="9" t="s">
        <v>5</v>
      </c>
      <c r="O4" s="10"/>
      <c r="R4" s="1">
        <v>45938</v>
      </c>
      <c r="S4" s="14">
        <f t="shared" si="0"/>
        <v>0.99999999999999956</v>
      </c>
      <c r="T4" t="str">
        <f t="shared" si="1"/>
        <v>Portfolio weights sum to 100%</v>
      </c>
    </row>
    <row r="5" spans="1:20" x14ac:dyDescent="0.25">
      <c r="A5" s="1">
        <v>45748</v>
      </c>
      <c r="B5" t="s">
        <v>14</v>
      </c>
      <c r="C5" s="16">
        <v>2.8799999999999999E-2</v>
      </c>
      <c r="D5" s="2"/>
      <c r="F5" s="1"/>
      <c r="H5" s="6" t="s">
        <v>6</v>
      </c>
      <c r="I5" s="7"/>
      <c r="J5" s="7"/>
      <c r="K5" s="7"/>
      <c r="L5" s="7"/>
      <c r="M5" s="7"/>
      <c r="N5" s="7"/>
      <c r="O5" s="8"/>
      <c r="R5" s="1">
        <v>46037</v>
      </c>
      <c r="S5" s="14">
        <f t="shared" si="0"/>
        <v>1</v>
      </c>
      <c r="T5" t="str">
        <f t="shared" si="1"/>
        <v>Portfolio weights sum to 100%</v>
      </c>
    </row>
    <row r="6" spans="1:20" ht="15.75" thickBot="1" x14ac:dyDescent="0.3">
      <c r="A6" s="1">
        <v>45748</v>
      </c>
      <c r="B6" t="s">
        <v>15</v>
      </c>
      <c r="C6" s="16">
        <v>2.8799999999999999E-2</v>
      </c>
      <c r="D6" s="2"/>
      <c r="F6" s="1"/>
      <c r="H6" s="11" t="s">
        <v>7</v>
      </c>
      <c r="I6" s="12"/>
      <c r="J6" s="12"/>
      <c r="K6" s="12"/>
      <c r="L6" s="12"/>
      <c r="M6" s="12"/>
      <c r="N6" s="12"/>
      <c r="O6" s="13"/>
      <c r="R6" s="1">
        <v>46132</v>
      </c>
      <c r="S6" s="14">
        <f t="shared" si="0"/>
        <v>0.99999999999999911</v>
      </c>
      <c r="T6" t="str">
        <f t="shared" si="1"/>
        <v>Portfolio weights do not sum to 100%</v>
      </c>
    </row>
    <row r="7" spans="1:20" x14ac:dyDescent="0.25">
      <c r="A7" s="1">
        <v>45748</v>
      </c>
      <c r="B7" t="s">
        <v>16</v>
      </c>
      <c r="C7" s="16">
        <v>2.8799999999999999E-2</v>
      </c>
      <c r="D7" s="2"/>
      <c r="F7" s="1"/>
      <c r="R7" s="1">
        <v>46232</v>
      </c>
      <c r="S7" s="14">
        <f t="shared" si="0"/>
        <v>0.99999999999999911</v>
      </c>
      <c r="T7" t="str">
        <f t="shared" si="1"/>
        <v>Portfolio weights do not sum to 100%</v>
      </c>
    </row>
    <row r="8" spans="1:20" x14ac:dyDescent="0.25">
      <c r="A8" s="1">
        <v>45748</v>
      </c>
      <c r="B8" t="s">
        <v>137</v>
      </c>
      <c r="C8" s="16">
        <v>2.8799999999999999E-2</v>
      </c>
      <c r="D8" s="2"/>
      <c r="F8" s="1"/>
      <c r="R8" s="1"/>
      <c r="S8" s="14" t="str">
        <f t="shared" si="0"/>
        <v/>
      </c>
      <c r="T8" t="str">
        <f t="shared" si="1"/>
        <v/>
      </c>
    </row>
    <row r="9" spans="1:20" x14ac:dyDescent="0.25">
      <c r="A9" s="1">
        <v>45748</v>
      </c>
      <c r="B9" t="s">
        <v>17</v>
      </c>
      <c r="C9" s="16">
        <v>2.8799999999999999E-2</v>
      </c>
      <c r="D9" s="2"/>
      <c r="F9" s="1"/>
      <c r="R9" s="1"/>
      <c r="S9" s="14" t="str">
        <f t="shared" si="0"/>
        <v/>
      </c>
      <c r="T9" t="str">
        <f t="shared" si="1"/>
        <v/>
      </c>
    </row>
    <row r="10" spans="1:20" x14ac:dyDescent="0.25">
      <c r="A10" s="1">
        <v>45748</v>
      </c>
      <c r="B10" t="s">
        <v>18</v>
      </c>
      <c r="C10" s="16">
        <v>2.8799999999999999E-2</v>
      </c>
      <c r="D10" s="2"/>
      <c r="F10" s="1"/>
      <c r="R10" s="1"/>
      <c r="S10" s="14" t="str">
        <f t="shared" si="0"/>
        <v/>
      </c>
      <c r="T10" t="str">
        <f t="shared" si="1"/>
        <v/>
      </c>
    </row>
    <row r="11" spans="1:20" x14ac:dyDescent="0.25">
      <c r="A11" s="1">
        <v>45748</v>
      </c>
      <c r="B11" t="s">
        <v>19</v>
      </c>
      <c r="C11" s="16">
        <v>2.8799999999999999E-2</v>
      </c>
      <c r="F11" s="1"/>
      <c r="R11" s="1"/>
      <c r="S11" s="14" t="str">
        <f t="shared" si="0"/>
        <v/>
      </c>
      <c r="T11" t="str">
        <f t="shared" si="1"/>
        <v/>
      </c>
    </row>
    <row r="12" spans="1:20" x14ac:dyDescent="0.25">
      <c r="A12" s="1">
        <v>45748</v>
      </c>
      <c r="B12" t="s">
        <v>20</v>
      </c>
      <c r="C12" s="16">
        <v>2.8799999999999999E-2</v>
      </c>
      <c r="D12" s="2"/>
      <c r="F12" s="1"/>
      <c r="R12" s="1"/>
      <c r="S12" s="14" t="str">
        <f t="shared" si="0"/>
        <v/>
      </c>
      <c r="T12" t="str">
        <f t="shared" si="1"/>
        <v/>
      </c>
    </row>
    <row r="13" spans="1:20" x14ac:dyDescent="0.25">
      <c r="A13" s="1">
        <v>45748</v>
      </c>
      <c r="B13" t="s">
        <v>21</v>
      </c>
      <c r="C13" s="16">
        <v>2.8799999999999999E-2</v>
      </c>
      <c r="D13" s="2"/>
      <c r="F13" s="1"/>
      <c r="R13" s="1"/>
      <c r="S13" s="14" t="str">
        <f t="shared" si="0"/>
        <v/>
      </c>
      <c r="T13" t="str">
        <f t="shared" si="1"/>
        <v/>
      </c>
    </row>
    <row r="14" spans="1:20" x14ac:dyDescent="0.25">
      <c r="A14" s="1">
        <v>45748</v>
      </c>
      <c r="B14" t="s">
        <v>22</v>
      </c>
      <c r="C14" s="16">
        <v>2.8799999999999999E-2</v>
      </c>
      <c r="D14" s="2"/>
      <c r="F14" s="1"/>
      <c r="R14" s="1"/>
      <c r="S14" s="14" t="str">
        <f t="shared" si="0"/>
        <v/>
      </c>
      <c r="T14" t="str">
        <f t="shared" si="1"/>
        <v/>
      </c>
    </row>
    <row r="15" spans="1:20" x14ac:dyDescent="0.25">
      <c r="A15" s="1">
        <v>45748</v>
      </c>
      <c r="B15" t="s">
        <v>23</v>
      </c>
      <c r="C15" s="16">
        <v>2.8799999999999999E-2</v>
      </c>
      <c r="D15" s="2"/>
      <c r="F15" s="1"/>
      <c r="R15" s="1"/>
      <c r="S15" s="14" t="str">
        <f t="shared" si="0"/>
        <v/>
      </c>
      <c r="T15" t="str">
        <f t="shared" si="1"/>
        <v/>
      </c>
    </row>
    <row r="16" spans="1:20" x14ac:dyDescent="0.25">
      <c r="A16" s="1">
        <v>45748</v>
      </c>
      <c r="B16" t="s">
        <v>24</v>
      </c>
      <c r="C16" s="16">
        <v>2.8799999999999999E-2</v>
      </c>
      <c r="D16" s="2"/>
      <c r="F16" s="1"/>
      <c r="R16" s="1"/>
      <c r="S16" s="14" t="str">
        <f t="shared" si="0"/>
        <v/>
      </c>
      <c r="T16" t="str">
        <f t="shared" si="1"/>
        <v/>
      </c>
    </row>
    <row r="17" spans="1:20" x14ac:dyDescent="0.25">
      <c r="A17" s="1">
        <v>45748</v>
      </c>
      <c r="B17" t="s">
        <v>25</v>
      </c>
      <c r="C17" s="16">
        <v>2.8799999999999999E-2</v>
      </c>
      <c r="D17" s="2"/>
      <c r="F17" s="1"/>
      <c r="R17" s="1"/>
      <c r="S17" s="14" t="str">
        <f t="shared" si="0"/>
        <v/>
      </c>
      <c r="T17" t="str">
        <f t="shared" si="1"/>
        <v/>
      </c>
    </row>
    <row r="18" spans="1:20" x14ac:dyDescent="0.25">
      <c r="A18" s="1">
        <v>45748</v>
      </c>
      <c r="B18" t="s">
        <v>26</v>
      </c>
      <c r="C18" s="16">
        <v>3.5900000000000001E-2</v>
      </c>
      <c r="D18" s="2"/>
      <c r="F18" s="1"/>
      <c r="R18" s="1"/>
      <c r="S18" s="14" t="str">
        <f t="shared" si="0"/>
        <v/>
      </c>
      <c r="T18" t="str">
        <f t="shared" si="1"/>
        <v/>
      </c>
    </row>
    <row r="19" spans="1:20" x14ac:dyDescent="0.25">
      <c r="A19" s="1">
        <v>45748</v>
      </c>
      <c r="B19" t="s">
        <v>27</v>
      </c>
      <c r="C19" s="16">
        <v>2.8799999999999999E-2</v>
      </c>
      <c r="D19" s="2"/>
      <c r="F19" s="1"/>
      <c r="R19" s="1"/>
      <c r="S19" s="14" t="str">
        <f t="shared" si="0"/>
        <v/>
      </c>
      <c r="T19" t="str">
        <f t="shared" si="1"/>
        <v/>
      </c>
    </row>
    <row r="20" spans="1:20" x14ac:dyDescent="0.25">
      <c r="A20" s="1">
        <v>45748</v>
      </c>
      <c r="B20" t="s">
        <v>28</v>
      </c>
      <c r="C20" s="16">
        <v>2.8799999999999999E-2</v>
      </c>
      <c r="D20" s="2"/>
      <c r="F20" s="1"/>
      <c r="R20" s="1"/>
      <c r="S20" s="14" t="str">
        <f t="shared" si="0"/>
        <v/>
      </c>
      <c r="T20" t="str">
        <f t="shared" si="1"/>
        <v/>
      </c>
    </row>
    <row r="21" spans="1:20" x14ac:dyDescent="0.25">
      <c r="A21" s="1">
        <v>45748</v>
      </c>
      <c r="B21" t="s">
        <v>29</v>
      </c>
      <c r="C21" s="16">
        <v>3.5900000000000001E-2</v>
      </c>
      <c r="F21" s="1"/>
      <c r="R21" s="1"/>
      <c r="S21" s="14" t="str">
        <f t="shared" si="0"/>
        <v/>
      </c>
      <c r="T21" t="str">
        <f t="shared" si="1"/>
        <v/>
      </c>
    </row>
    <row r="22" spans="1:20" x14ac:dyDescent="0.25">
      <c r="A22" s="1">
        <v>45748</v>
      </c>
      <c r="B22" t="s">
        <v>30</v>
      </c>
      <c r="C22" s="16">
        <v>3.5900000000000001E-2</v>
      </c>
      <c r="D22" s="2"/>
      <c r="F22" s="1"/>
      <c r="R22" s="1"/>
      <c r="S22" s="14" t="str">
        <f t="shared" si="0"/>
        <v/>
      </c>
      <c r="T22" t="str">
        <f t="shared" si="1"/>
        <v/>
      </c>
    </row>
    <row r="23" spans="1:20" x14ac:dyDescent="0.25">
      <c r="A23" s="1">
        <v>45748</v>
      </c>
      <c r="B23" t="s">
        <v>31</v>
      </c>
      <c r="C23" s="16">
        <v>2.8799999999999999E-2</v>
      </c>
      <c r="D23" s="2"/>
      <c r="F23" s="1"/>
      <c r="R23" s="1"/>
      <c r="S23" s="14" t="str">
        <f t="shared" si="0"/>
        <v/>
      </c>
      <c r="T23" t="str">
        <f t="shared" si="1"/>
        <v/>
      </c>
    </row>
    <row r="24" spans="1:20" x14ac:dyDescent="0.25">
      <c r="A24" s="1">
        <v>45748</v>
      </c>
      <c r="B24" t="s">
        <v>32</v>
      </c>
      <c r="C24" s="16">
        <v>2.8799999999999999E-2</v>
      </c>
      <c r="D24" s="2"/>
      <c r="F24" s="1"/>
      <c r="R24" s="1"/>
      <c r="S24" s="14" t="str">
        <f t="shared" si="0"/>
        <v/>
      </c>
      <c r="T24" t="str">
        <f t="shared" si="1"/>
        <v/>
      </c>
    </row>
    <row r="25" spans="1:20" x14ac:dyDescent="0.25">
      <c r="A25" s="1">
        <v>45748</v>
      </c>
      <c r="B25" t="s">
        <v>33</v>
      </c>
      <c r="C25" s="16">
        <v>2.8799999999999999E-2</v>
      </c>
      <c r="D25" s="2"/>
      <c r="F25" s="1"/>
      <c r="R25" s="1"/>
      <c r="S25" s="14" t="str">
        <f t="shared" si="0"/>
        <v/>
      </c>
      <c r="T25" t="str">
        <f t="shared" si="1"/>
        <v/>
      </c>
    </row>
    <row r="26" spans="1:20" x14ac:dyDescent="0.25">
      <c r="A26" s="1">
        <v>45748</v>
      </c>
      <c r="B26" t="s">
        <v>34</v>
      </c>
      <c r="C26" s="16">
        <v>2.8799999999999999E-2</v>
      </c>
      <c r="D26" s="2"/>
      <c r="F26" s="1"/>
      <c r="R26" s="1"/>
      <c r="S26" s="14" t="str">
        <f t="shared" si="0"/>
        <v/>
      </c>
      <c r="T26" t="str">
        <f t="shared" si="1"/>
        <v/>
      </c>
    </row>
    <row r="27" spans="1:20" x14ac:dyDescent="0.25">
      <c r="A27" s="1">
        <v>45748</v>
      </c>
      <c r="B27" t="s">
        <v>35</v>
      </c>
      <c r="C27" s="16">
        <v>2.8799999999999999E-2</v>
      </c>
      <c r="D27" s="2"/>
      <c r="F27" s="1"/>
      <c r="R27" s="1"/>
      <c r="S27" s="14" t="str">
        <f t="shared" si="0"/>
        <v/>
      </c>
      <c r="T27" t="str">
        <f t="shared" si="1"/>
        <v/>
      </c>
    </row>
    <row r="28" spans="1:20" x14ac:dyDescent="0.25">
      <c r="A28" s="1">
        <v>45748</v>
      </c>
      <c r="B28" t="s">
        <v>36</v>
      </c>
      <c r="C28" s="16">
        <v>2.8799999999999999E-2</v>
      </c>
      <c r="D28" s="2"/>
      <c r="F28" s="1"/>
      <c r="R28" s="1"/>
      <c r="S28" s="14" t="str">
        <f t="shared" si="0"/>
        <v/>
      </c>
      <c r="T28" t="str">
        <f t="shared" si="1"/>
        <v/>
      </c>
    </row>
    <row r="29" spans="1:20" x14ac:dyDescent="0.25">
      <c r="A29" s="1">
        <v>45748</v>
      </c>
      <c r="B29" t="s">
        <v>37</v>
      </c>
      <c r="C29" s="16">
        <v>2.8799999999999999E-2</v>
      </c>
      <c r="D29" s="2"/>
      <c r="F29" s="1"/>
      <c r="R29" s="1"/>
      <c r="S29" s="14" t="str">
        <f t="shared" si="0"/>
        <v/>
      </c>
      <c r="T29" t="str">
        <f t="shared" si="1"/>
        <v/>
      </c>
    </row>
    <row r="30" spans="1:20" x14ac:dyDescent="0.25">
      <c r="A30" s="1">
        <v>45748</v>
      </c>
      <c r="B30" t="s">
        <v>38</v>
      </c>
      <c r="C30" s="16">
        <v>3.5900000000000001E-2</v>
      </c>
      <c r="D30" s="2"/>
      <c r="F30" s="1"/>
      <c r="R30" s="1"/>
      <c r="S30" s="14" t="str">
        <f t="shared" si="0"/>
        <v/>
      </c>
      <c r="T30" t="str">
        <f t="shared" si="1"/>
        <v/>
      </c>
    </row>
    <row r="31" spans="1:20" x14ac:dyDescent="0.25">
      <c r="A31" s="1">
        <v>45748</v>
      </c>
      <c r="B31" t="s">
        <v>39</v>
      </c>
      <c r="C31" s="16">
        <v>2.8799999999999999E-2</v>
      </c>
      <c r="F31" s="1"/>
      <c r="R31" s="1"/>
      <c r="S31" s="14" t="str">
        <f t="shared" si="0"/>
        <v/>
      </c>
      <c r="T31" t="str">
        <f t="shared" si="1"/>
        <v/>
      </c>
    </row>
    <row r="32" spans="1:20" x14ac:dyDescent="0.25">
      <c r="A32" s="1">
        <v>45748</v>
      </c>
      <c r="B32" t="s">
        <v>40</v>
      </c>
      <c r="C32" s="16">
        <v>3.5900000000000001E-2</v>
      </c>
      <c r="D32" s="2"/>
      <c r="F32" s="1"/>
      <c r="R32" s="1"/>
      <c r="S32" s="14" t="str">
        <f t="shared" si="0"/>
        <v/>
      </c>
      <c r="T32" t="str">
        <f t="shared" si="1"/>
        <v/>
      </c>
    </row>
    <row r="33" spans="1:20" x14ac:dyDescent="0.25">
      <c r="A33" s="1">
        <v>45748</v>
      </c>
      <c r="B33" t="s">
        <v>41</v>
      </c>
      <c r="C33" s="16">
        <v>2.8799999999999999E-2</v>
      </c>
      <c r="D33" s="2"/>
      <c r="F33" s="1"/>
      <c r="R33" s="1"/>
      <c r="S33" s="14" t="str">
        <f t="shared" si="0"/>
        <v/>
      </c>
      <c r="T33" t="str">
        <f t="shared" si="1"/>
        <v/>
      </c>
    </row>
    <row r="34" spans="1:20" x14ac:dyDescent="0.25">
      <c r="A34" s="1">
        <v>45748</v>
      </c>
      <c r="B34" t="s">
        <v>42</v>
      </c>
      <c r="C34" s="16">
        <v>2.87E-2</v>
      </c>
      <c r="D34" s="2"/>
      <c r="F34" s="1"/>
      <c r="R34" s="1"/>
      <c r="S34" s="14" t="str">
        <f t="shared" ref="S34:S65" si="2">IF(R34="","",SUMIF(A:A,R34,C:C))</f>
        <v/>
      </c>
      <c r="T34" t="str">
        <f t="shared" si="1"/>
        <v/>
      </c>
    </row>
    <row r="35" spans="1:20" x14ac:dyDescent="0.25">
      <c r="A35" s="1">
        <v>45853</v>
      </c>
      <c r="B35" t="s">
        <v>43</v>
      </c>
      <c r="C35" s="16">
        <v>3.04E-2</v>
      </c>
      <c r="D35" s="2"/>
      <c r="F35" s="1"/>
      <c r="R35" s="1"/>
      <c r="S35" s="14" t="str">
        <f t="shared" si="2"/>
        <v/>
      </c>
      <c r="T35" t="str">
        <f t="shared" si="1"/>
        <v/>
      </c>
    </row>
    <row r="36" spans="1:20" x14ac:dyDescent="0.25">
      <c r="A36" s="1">
        <v>45853</v>
      </c>
      <c r="B36" t="s">
        <v>44</v>
      </c>
      <c r="C36" s="16">
        <v>2.69E-2</v>
      </c>
      <c r="D36" s="2"/>
      <c r="F36" s="1"/>
      <c r="R36" s="1"/>
      <c r="S36" s="14" t="str">
        <f t="shared" si="2"/>
        <v/>
      </c>
      <c r="T36" t="str">
        <f t="shared" si="1"/>
        <v/>
      </c>
    </row>
    <row r="37" spans="1:20" x14ac:dyDescent="0.25">
      <c r="A37" s="1">
        <v>45853</v>
      </c>
      <c r="B37" t="s">
        <v>12</v>
      </c>
      <c r="C37" s="16">
        <v>2.0199999999999999E-2</v>
      </c>
      <c r="D37" s="2"/>
      <c r="F37" s="1"/>
      <c r="R37" s="1"/>
      <c r="S37" s="14" t="str">
        <f t="shared" si="2"/>
        <v/>
      </c>
      <c r="T37" t="str">
        <f t="shared" si="1"/>
        <v/>
      </c>
    </row>
    <row r="38" spans="1:20" x14ac:dyDescent="0.25">
      <c r="A38" s="1">
        <v>45853</v>
      </c>
      <c r="B38" t="s">
        <v>45</v>
      </c>
      <c r="C38" s="16">
        <v>1.7000000000000001E-2</v>
      </c>
      <c r="D38" s="2"/>
      <c r="F38" s="1"/>
      <c r="R38" s="1"/>
      <c r="S38" s="14" t="str">
        <f t="shared" si="2"/>
        <v/>
      </c>
      <c r="T38" t="str">
        <f t="shared" si="1"/>
        <v/>
      </c>
    </row>
    <row r="39" spans="1:20" x14ac:dyDescent="0.25">
      <c r="A39" s="1">
        <v>45853</v>
      </c>
      <c r="B39" t="s">
        <v>13</v>
      </c>
      <c r="C39" s="16">
        <v>3.3799999999999997E-2</v>
      </c>
      <c r="D39" s="2"/>
      <c r="F39" s="1"/>
      <c r="R39" s="1"/>
      <c r="S39" s="14" t="str">
        <f t="shared" si="2"/>
        <v/>
      </c>
      <c r="T39" t="str">
        <f t="shared" si="1"/>
        <v/>
      </c>
    </row>
    <row r="40" spans="1:20" x14ac:dyDescent="0.25">
      <c r="A40" s="1">
        <v>45853</v>
      </c>
      <c r="B40" t="s">
        <v>46</v>
      </c>
      <c r="C40" s="16">
        <v>2.69E-2</v>
      </c>
      <c r="D40" s="2"/>
      <c r="F40" s="1"/>
      <c r="R40" s="1"/>
      <c r="S40" s="14" t="str">
        <f t="shared" si="2"/>
        <v/>
      </c>
      <c r="T40" t="str">
        <f t="shared" si="1"/>
        <v/>
      </c>
    </row>
    <row r="41" spans="1:20" x14ac:dyDescent="0.25">
      <c r="A41" s="1">
        <v>45853</v>
      </c>
      <c r="B41" t="s">
        <v>15</v>
      </c>
      <c r="C41" s="16">
        <v>1.7000000000000001E-2</v>
      </c>
      <c r="F41" s="1"/>
      <c r="R41" s="1"/>
      <c r="S41" s="14" t="str">
        <f t="shared" si="2"/>
        <v/>
      </c>
      <c r="T41" t="str">
        <f t="shared" si="1"/>
        <v/>
      </c>
    </row>
    <row r="42" spans="1:20" x14ac:dyDescent="0.25">
      <c r="A42" s="1">
        <v>45853</v>
      </c>
      <c r="B42" t="s">
        <v>16</v>
      </c>
      <c r="C42" s="16">
        <v>2.69E-2</v>
      </c>
      <c r="D42" s="2"/>
      <c r="F42" s="1"/>
      <c r="R42" s="1"/>
      <c r="S42" s="14" t="str">
        <f t="shared" si="2"/>
        <v/>
      </c>
      <c r="T42" t="str">
        <f t="shared" si="1"/>
        <v/>
      </c>
    </row>
    <row r="43" spans="1:20" x14ac:dyDescent="0.25">
      <c r="A43" s="1">
        <v>45853</v>
      </c>
      <c r="B43" t="s">
        <v>137</v>
      </c>
      <c r="C43" s="16">
        <v>2.69E-2</v>
      </c>
      <c r="D43" s="2"/>
      <c r="F43" s="1"/>
      <c r="R43" s="1"/>
      <c r="S43" s="14" t="str">
        <f t="shared" si="2"/>
        <v/>
      </c>
      <c r="T43" t="str">
        <f t="shared" si="1"/>
        <v/>
      </c>
    </row>
    <row r="44" spans="1:20" x14ac:dyDescent="0.25">
      <c r="A44" s="1">
        <v>45853</v>
      </c>
      <c r="B44" t="s">
        <v>17</v>
      </c>
      <c r="C44" s="16">
        <v>3.0499999999999996E-2</v>
      </c>
      <c r="D44" s="2"/>
      <c r="F44" s="1"/>
      <c r="R44" s="1"/>
      <c r="S44" s="14" t="str">
        <f t="shared" si="2"/>
        <v/>
      </c>
      <c r="T44" t="str">
        <f t="shared" si="1"/>
        <v/>
      </c>
    </row>
    <row r="45" spans="1:20" x14ac:dyDescent="0.25">
      <c r="A45" s="1">
        <v>45853</v>
      </c>
      <c r="B45" t="s">
        <v>47</v>
      </c>
      <c r="C45" s="16">
        <v>2.69E-2</v>
      </c>
      <c r="D45" s="2"/>
      <c r="F45" s="1"/>
      <c r="R45" s="1"/>
      <c r="S45" s="14" t="str">
        <f t="shared" si="2"/>
        <v/>
      </c>
      <c r="T45" t="str">
        <f t="shared" si="1"/>
        <v/>
      </c>
    </row>
    <row r="46" spans="1:20" x14ac:dyDescent="0.25">
      <c r="A46" s="1">
        <v>45853</v>
      </c>
      <c r="B46" t="s">
        <v>18</v>
      </c>
      <c r="C46" s="16">
        <v>2.3699999999999999E-2</v>
      </c>
      <c r="D46" s="2"/>
      <c r="F46" s="1"/>
      <c r="R46" s="1"/>
      <c r="S46" s="14" t="str">
        <f t="shared" si="2"/>
        <v/>
      </c>
      <c r="T46" t="str">
        <f t="shared" si="1"/>
        <v/>
      </c>
    </row>
    <row r="47" spans="1:20" x14ac:dyDescent="0.25">
      <c r="A47" s="1">
        <v>45853</v>
      </c>
      <c r="B47" t="s">
        <v>19</v>
      </c>
      <c r="C47" s="16">
        <v>2.3699999999999999E-2</v>
      </c>
      <c r="D47" s="2"/>
      <c r="F47" s="1"/>
      <c r="R47" s="1"/>
      <c r="S47" s="14" t="str">
        <f t="shared" si="2"/>
        <v/>
      </c>
      <c r="T47" t="str">
        <f t="shared" si="1"/>
        <v/>
      </c>
    </row>
    <row r="48" spans="1:20" x14ac:dyDescent="0.25">
      <c r="A48" s="1">
        <v>45853</v>
      </c>
      <c r="B48" t="s">
        <v>48</v>
      </c>
      <c r="C48" s="16">
        <v>2.3699999999999999E-2</v>
      </c>
      <c r="D48" s="2"/>
      <c r="F48" s="1"/>
      <c r="R48" s="1"/>
      <c r="S48" s="14" t="str">
        <f t="shared" si="2"/>
        <v/>
      </c>
      <c r="T48" t="str">
        <f t="shared" si="1"/>
        <v/>
      </c>
    </row>
    <row r="49" spans="1:20" x14ac:dyDescent="0.25">
      <c r="A49" s="1">
        <v>45853</v>
      </c>
      <c r="B49" t="s">
        <v>21</v>
      </c>
      <c r="C49" s="16">
        <v>3.0499999999999996E-2</v>
      </c>
      <c r="D49" s="2"/>
      <c r="F49" s="1"/>
      <c r="R49" s="1"/>
      <c r="S49" s="14" t="str">
        <f t="shared" si="2"/>
        <v/>
      </c>
      <c r="T49" t="str">
        <f t="shared" si="1"/>
        <v/>
      </c>
    </row>
    <row r="50" spans="1:20" x14ac:dyDescent="0.25">
      <c r="A50" s="1">
        <v>45853</v>
      </c>
      <c r="B50" t="s">
        <v>22</v>
      </c>
      <c r="C50" s="16">
        <v>2.69E-2</v>
      </c>
      <c r="D50" s="2"/>
      <c r="F50" s="1"/>
      <c r="R50" s="1"/>
      <c r="S50" s="14" t="str">
        <f t="shared" si="2"/>
        <v/>
      </c>
      <c r="T50" t="str">
        <f t="shared" si="1"/>
        <v/>
      </c>
    </row>
    <row r="51" spans="1:20" x14ac:dyDescent="0.25">
      <c r="A51" s="1">
        <v>45853</v>
      </c>
      <c r="B51" t="s">
        <v>23</v>
      </c>
      <c r="C51" s="16">
        <v>2.69E-2</v>
      </c>
      <c r="F51" s="1"/>
      <c r="R51" s="1"/>
      <c r="S51" s="14" t="str">
        <f t="shared" si="2"/>
        <v/>
      </c>
      <c r="T51" t="str">
        <f t="shared" si="1"/>
        <v/>
      </c>
    </row>
    <row r="52" spans="1:20" x14ac:dyDescent="0.25">
      <c r="A52" s="1">
        <v>45853</v>
      </c>
      <c r="B52" t="s">
        <v>49</v>
      </c>
      <c r="C52" s="16">
        <v>2.3699999999999999E-2</v>
      </c>
      <c r="D52" s="2"/>
      <c r="F52" s="1"/>
      <c r="R52" s="1"/>
      <c r="S52" s="14" t="str">
        <f t="shared" si="2"/>
        <v/>
      </c>
      <c r="T52" t="str">
        <f t="shared" si="1"/>
        <v/>
      </c>
    </row>
    <row r="53" spans="1:20" x14ac:dyDescent="0.25">
      <c r="A53" s="1">
        <v>45853</v>
      </c>
      <c r="B53" t="s">
        <v>50</v>
      </c>
      <c r="C53" s="16">
        <v>3.0499999999999996E-2</v>
      </c>
      <c r="D53" s="2"/>
      <c r="F53" s="1"/>
      <c r="R53" s="1"/>
      <c r="S53" s="14" t="str">
        <f t="shared" si="2"/>
        <v/>
      </c>
      <c r="T53" t="str">
        <f t="shared" ref="O53:T116" si="3">IF(S53="","",IF(S53=1,"Portfolio weights sum to 100%", "Portfolio weights do not sum to 100%."))</f>
        <v/>
      </c>
    </row>
    <row r="54" spans="1:20" x14ac:dyDescent="0.25">
      <c r="A54" s="1">
        <v>45853</v>
      </c>
      <c r="B54" t="s">
        <v>24</v>
      </c>
      <c r="C54" s="16">
        <v>2.3599999999999999E-2</v>
      </c>
      <c r="D54" s="2"/>
      <c r="F54" s="1"/>
      <c r="R54" s="1"/>
      <c r="S54" s="14" t="str">
        <f t="shared" si="2"/>
        <v/>
      </c>
      <c r="T54" t="str">
        <f t="shared" si="3"/>
        <v/>
      </c>
    </row>
    <row r="55" spans="1:20" x14ac:dyDescent="0.25">
      <c r="A55" s="1">
        <v>45853</v>
      </c>
      <c r="B55" t="s">
        <v>25</v>
      </c>
      <c r="C55" s="16">
        <v>2.69E-2</v>
      </c>
      <c r="D55" s="2"/>
      <c r="F55" s="1"/>
      <c r="R55" s="1"/>
      <c r="S55" s="14" t="str">
        <f t="shared" si="2"/>
        <v/>
      </c>
      <c r="T55" t="str">
        <f t="shared" si="3"/>
        <v/>
      </c>
    </row>
    <row r="56" spans="1:20" x14ac:dyDescent="0.25">
      <c r="A56" s="1">
        <v>45853</v>
      </c>
      <c r="B56" t="s">
        <v>26</v>
      </c>
      <c r="C56" s="16">
        <v>2.69E-2</v>
      </c>
      <c r="D56" s="2"/>
      <c r="F56" s="1"/>
      <c r="R56" s="1"/>
      <c r="S56" s="14" t="str">
        <f t="shared" si="2"/>
        <v/>
      </c>
      <c r="T56" t="str">
        <f t="shared" si="3"/>
        <v/>
      </c>
    </row>
    <row r="57" spans="1:20" x14ac:dyDescent="0.25">
      <c r="A57" s="1">
        <v>45853</v>
      </c>
      <c r="B57" t="s">
        <v>51</v>
      </c>
      <c r="C57" s="16">
        <v>2.69E-2</v>
      </c>
      <c r="D57" s="2"/>
      <c r="F57" s="1"/>
      <c r="R57" s="1"/>
      <c r="S57" s="14" t="str">
        <f t="shared" si="2"/>
        <v/>
      </c>
      <c r="T57" t="str">
        <f t="shared" si="3"/>
        <v/>
      </c>
    </row>
    <row r="58" spans="1:20" x14ac:dyDescent="0.25">
      <c r="A58" s="1">
        <v>45853</v>
      </c>
      <c r="B58" t="s">
        <v>52</v>
      </c>
      <c r="C58" s="16">
        <v>2.0199999999999999E-2</v>
      </c>
      <c r="D58" s="2"/>
      <c r="F58" s="1"/>
      <c r="R58" s="1"/>
      <c r="S58" s="14" t="str">
        <f t="shared" si="2"/>
        <v/>
      </c>
      <c r="T58" t="str">
        <f t="shared" si="3"/>
        <v/>
      </c>
    </row>
    <row r="59" spans="1:20" x14ac:dyDescent="0.25">
      <c r="A59" s="1">
        <v>45853</v>
      </c>
      <c r="B59" t="s">
        <v>27</v>
      </c>
      <c r="C59" s="16">
        <v>3.0499999999999996E-2</v>
      </c>
      <c r="D59" s="2"/>
      <c r="F59" s="1"/>
      <c r="R59" s="1"/>
      <c r="S59" s="14" t="str">
        <f t="shared" si="2"/>
        <v/>
      </c>
      <c r="T59" t="str">
        <f t="shared" si="3"/>
        <v/>
      </c>
    </row>
    <row r="60" spans="1:20" x14ac:dyDescent="0.25">
      <c r="A60" s="1">
        <v>45853</v>
      </c>
      <c r="B60" t="s">
        <v>28</v>
      </c>
      <c r="C60" s="16">
        <v>3.3700000000000001E-2</v>
      </c>
      <c r="D60" s="2"/>
      <c r="F60" s="1"/>
      <c r="R60" s="1"/>
      <c r="S60" s="14" t="str">
        <f t="shared" si="2"/>
        <v/>
      </c>
      <c r="T60" t="str">
        <f t="shared" si="3"/>
        <v/>
      </c>
    </row>
    <row r="61" spans="1:20" x14ac:dyDescent="0.25">
      <c r="A61" s="1">
        <v>45853</v>
      </c>
      <c r="B61" t="s">
        <v>29</v>
      </c>
      <c r="C61" s="16">
        <v>3.4700000000000002E-2</v>
      </c>
      <c r="F61" s="1"/>
      <c r="R61" s="1"/>
      <c r="S61" s="14" t="str">
        <f t="shared" si="2"/>
        <v/>
      </c>
      <c r="T61" t="str">
        <f t="shared" si="3"/>
        <v/>
      </c>
    </row>
    <row r="62" spans="1:20" x14ac:dyDescent="0.25">
      <c r="A62" s="1">
        <v>45853</v>
      </c>
      <c r="B62" t="s">
        <v>53</v>
      </c>
      <c r="C62" s="16">
        <v>3.0499999999999996E-2</v>
      </c>
      <c r="D62" s="2"/>
      <c r="F62" s="1"/>
      <c r="R62" s="1"/>
      <c r="S62" s="14" t="str">
        <f t="shared" si="2"/>
        <v/>
      </c>
      <c r="T62" t="str">
        <f t="shared" si="3"/>
        <v/>
      </c>
    </row>
    <row r="63" spans="1:20" x14ac:dyDescent="0.25">
      <c r="A63" s="1">
        <v>45853</v>
      </c>
      <c r="B63" t="s">
        <v>31</v>
      </c>
      <c r="C63" s="16">
        <v>3.3700000000000001E-2</v>
      </c>
      <c r="D63" s="2"/>
      <c r="F63" s="1"/>
      <c r="R63" s="1"/>
      <c r="S63" s="14" t="str">
        <f t="shared" si="2"/>
        <v/>
      </c>
      <c r="T63" t="str">
        <f t="shared" si="3"/>
        <v/>
      </c>
    </row>
    <row r="64" spans="1:20" x14ac:dyDescent="0.25">
      <c r="A64" s="1">
        <v>45853</v>
      </c>
      <c r="B64" t="s">
        <v>32</v>
      </c>
      <c r="C64" s="16">
        <v>3.0499999999999996E-2</v>
      </c>
      <c r="D64" s="2"/>
      <c r="F64" s="1"/>
      <c r="R64" s="1"/>
      <c r="S64" s="14" t="str">
        <f t="shared" si="2"/>
        <v/>
      </c>
      <c r="T64" t="str">
        <f t="shared" si="3"/>
        <v/>
      </c>
    </row>
    <row r="65" spans="1:20" x14ac:dyDescent="0.25">
      <c r="A65" s="1">
        <v>45853</v>
      </c>
      <c r="B65" t="s">
        <v>33</v>
      </c>
      <c r="C65" s="16">
        <v>3.3700000000000001E-2</v>
      </c>
      <c r="D65" s="2"/>
      <c r="F65" s="1"/>
      <c r="R65" s="1"/>
      <c r="S65" s="14" t="str">
        <f t="shared" si="2"/>
        <v/>
      </c>
      <c r="T65" t="str">
        <f t="shared" si="3"/>
        <v/>
      </c>
    </row>
    <row r="66" spans="1:20" x14ac:dyDescent="0.25">
      <c r="A66" s="1">
        <v>45853</v>
      </c>
      <c r="B66" t="s">
        <v>36</v>
      </c>
      <c r="C66" s="16">
        <v>1.7000000000000001E-2</v>
      </c>
      <c r="D66" s="2"/>
      <c r="F66" s="1"/>
      <c r="R66" s="1"/>
      <c r="S66" s="14" t="str">
        <f t="shared" ref="S66:S97" si="4">IF(R66="","",SUMIF(A:A,R66,C:C))</f>
        <v/>
      </c>
      <c r="T66" t="str">
        <f t="shared" si="3"/>
        <v/>
      </c>
    </row>
    <row r="67" spans="1:20" x14ac:dyDescent="0.25">
      <c r="A67" s="1">
        <v>45853</v>
      </c>
      <c r="B67" t="s">
        <v>54</v>
      </c>
      <c r="C67" s="16">
        <v>2.0199999999999999E-2</v>
      </c>
      <c r="D67" s="2"/>
      <c r="F67" s="1"/>
      <c r="R67" s="1"/>
      <c r="S67" s="14" t="str">
        <f t="shared" si="4"/>
        <v/>
      </c>
      <c r="T67" t="str">
        <f t="shared" si="3"/>
        <v/>
      </c>
    </row>
    <row r="68" spans="1:20" x14ac:dyDescent="0.25">
      <c r="A68" s="1">
        <v>45853</v>
      </c>
      <c r="B68" t="s">
        <v>38</v>
      </c>
      <c r="C68" s="16">
        <v>3.3700000000000001E-2</v>
      </c>
      <c r="D68" s="2"/>
      <c r="F68" s="1"/>
      <c r="R68" s="1"/>
      <c r="S68" s="14" t="str">
        <f t="shared" si="4"/>
        <v/>
      </c>
      <c r="T68" t="str">
        <f t="shared" si="3"/>
        <v/>
      </c>
    </row>
    <row r="69" spans="1:20" x14ac:dyDescent="0.25">
      <c r="A69" s="1">
        <v>45853</v>
      </c>
      <c r="B69" t="s">
        <v>39</v>
      </c>
      <c r="C69" s="16">
        <v>2.69E-2</v>
      </c>
      <c r="D69" s="2"/>
      <c r="F69" s="1"/>
      <c r="R69" s="1"/>
      <c r="S69" s="14" t="str">
        <f t="shared" si="4"/>
        <v/>
      </c>
      <c r="T69" t="str">
        <f t="shared" si="3"/>
        <v/>
      </c>
    </row>
    <row r="70" spans="1:20" x14ac:dyDescent="0.25">
      <c r="A70" s="1">
        <v>45853</v>
      </c>
      <c r="B70" t="s">
        <v>55</v>
      </c>
      <c r="C70" s="16">
        <v>3.0499999999999996E-2</v>
      </c>
      <c r="D70" s="2"/>
      <c r="F70" s="1"/>
      <c r="R70" s="1"/>
      <c r="S70" s="14" t="str">
        <f t="shared" si="4"/>
        <v/>
      </c>
      <c r="T70" t="str">
        <f t="shared" si="3"/>
        <v/>
      </c>
    </row>
    <row r="71" spans="1:20" x14ac:dyDescent="0.25">
      <c r="A71" s="1">
        <v>45853</v>
      </c>
      <c r="B71" t="s">
        <v>42</v>
      </c>
      <c r="C71" s="16">
        <v>2.69E-2</v>
      </c>
      <c r="F71" s="1"/>
      <c r="R71" s="1"/>
      <c r="S71" s="14" t="str">
        <f t="shared" si="4"/>
        <v/>
      </c>
      <c r="T71" t="str">
        <f t="shared" si="3"/>
        <v/>
      </c>
    </row>
    <row r="72" spans="1:20" x14ac:dyDescent="0.25">
      <c r="A72" s="1">
        <v>45938</v>
      </c>
      <c r="B72" t="s">
        <v>56</v>
      </c>
      <c r="C72" s="16">
        <v>3.3599999999999998E-2</v>
      </c>
      <c r="D72" s="15"/>
      <c r="F72" s="1"/>
      <c r="R72" s="1"/>
      <c r="S72" s="14" t="str">
        <f t="shared" si="4"/>
        <v/>
      </c>
      <c r="T72" t="str">
        <f t="shared" si="3"/>
        <v/>
      </c>
    </row>
    <row r="73" spans="1:20" x14ac:dyDescent="0.25">
      <c r="A73" s="1">
        <v>45938</v>
      </c>
      <c r="B73" t="s">
        <v>57</v>
      </c>
      <c r="C73" s="16">
        <v>3.0599999999999999E-2</v>
      </c>
      <c r="D73" s="15"/>
      <c r="F73" s="1"/>
      <c r="R73" s="1"/>
      <c r="S73" s="14" t="str">
        <f t="shared" si="4"/>
        <v/>
      </c>
      <c r="T73" t="str">
        <f t="shared" si="3"/>
        <v/>
      </c>
    </row>
    <row r="74" spans="1:20" x14ac:dyDescent="0.25">
      <c r="A74" s="1">
        <v>45938</v>
      </c>
      <c r="B74" t="s">
        <v>58</v>
      </c>
      <c r="C74" s="16">
        <v>2.75E-2</v>
      </c>
      <c r="D74" s="15"/>
      <c r="F74" s="1"/>
      <c r="R74" s="1"/>
      <c r="S74" s="14" t="str">
        <f t="shared" si="4"/>
        <v/>
      </c>
      <c r="T74" t="str">
        <f t="shared" si="3"/>
        <v/>
      </c>
    </row>
    <row r="75" spans="1:20" x14ac:dyDescent="0.25">
      <c r="A75" s="1">
        <v>45938</v>
      </c>
      <c r="B75" t="s">
        <v>59</v>
      </c>
      <c r="C75" s="16">
        <v>3.0599999999999999E-2</v>
      </c>
      <c r="D75" s="15"/>
      <c r="F75" s="1"/>
      <c r="R75" s="1"/>
      <c r="S75" s="14" t="str">
        <f t="shared" si="4"/>
        <v/>
      </c>
      <c r="T75" t="str">
        <f t="shared" si="3"/>
        <v/>
      </c>
    </row>
    <row r="76" spans="1:20" x14ac:dyDescent="0.25">
      <c r="A76" s="1">
        <v>45938</v>
      </c>
      <c r="B76" t="s">
        <v>60</v>
      </c>
      <c r="C76" s="16">
        <v>3.0599999999999999E-2</v>
      </c>
      <c r="D76" s="15"/>
      <c r="F76" s="1"/>
      <c r="R76" s="1"/>
      <c r="S76" s="14" t="str">
        <f t="shared" si="4"/>
        <v/>
      </c>
      <c r="T76" t="str">
        <f t="shared" si="3"/>
        <v/>
      </c>
    </row>
    <row r="77" spans="1:20" x14ac:dyDescent="0.25">
      <c r="A77" s="1">
        <v>45938</v>
      </c>
      <c r="B77" t="s">
        <v>61</v>
      </c>
      <c r="C77" s="16">
        <v>3.0599999999999999E-2</v>
      </c>
      <c r="D77" s="15"/>
      <c r="F77" s="1"/>
      <c r="R77" s="1"/>
      <c r="S77" s="14" t="str">
        <f t="shared" si="4"/>
        <v/>
      </c>
      <c r="T77" t="str">
        <f t="shared" si="3"/>
        <v/>
      </c>
    </row>
    <row r="78" spans="1:20" x14ac:dyDescent="0.25">
      <c r="A78" s="1">
        <v>45938</v>
      </c>
      <c r="B78" t="s">
        <v>62</v>
      </c>
      <c r="C78" s="16">
        <v>3.0599999999999999E-2</v>
      </c>
      <c r="D78" s="15"/>
      <c r="F78" s="1"/>
      <c r="R78" s="1"/>
      <c r="S78" s="14" t="str">
        <f t="shared" si="4"/>
        <v/>
      </c>
      <c r="T78" t="str">
        <f t="shared" si="3"/>
        <v/>
      </c>
    </row>
    <row r="79" spans="1:20" x14ac:dyDescent="0.25">
      <c r="A79" s="1">
        <v>45938</v>
      </c>
      <c r="B79" t="s">
        <v>63</v>
      </c>
      <c r="C79" s="16">
        <v>3.0599999999999999E-2</v>
      </c>
      <c r="D79" s="15"/>
      <c r="F79" s="1"/>
      <c r="R79" s="1"/>
      <c r="S79" s="14" t="str">
        <f t="shared" si="4"/>
        <v/>
      </c>
      <c r="T79" t="str">
        <f t="shared" si="3"/>
        <v/>
      </c>
    </row>
    <row r="80" spans="1:20" x14ac:dyDescent="0.25">
      <c r="A80" s="1">
        <v>45938</v>
      </c>
      <c r="B80" t="s">
        <v>64</v>
      </c>
      <c r="C80" s="16">
        <v>2.75E-2</v>
      </c>
      <c r="D80" s="15"/>
      <c r="F80" s="1"/>
      <c r="R80" s="1"/>
      <c r="S80" s="14" t="str">
        <f t="shared" si="4"/>
        <v/>
      </c>
      <c r="T80" t="str">
        <f t="shared" si="3"/>
        <v/>
      </c>
    </row>
    <row r="81" spans="1:20" x14ac:dyDescent="0.25">
      <c r="A81" s="1">
        <v>45938</v>
      </c>
      <c r="B81" t="s">
        <v>65</v>
      </c>
      <c r="C81" s="16">
        <v>2.75E-2</v>
      </c>
      <c r="D81" s="15"/>
      <c r="F81" s="1"/>
      <c r="R81" s="1"/>
      <c r="S81" s="14" t="str">
        <f t="shared" si="4"/>
        <v/>
      </c>
      <c r="T81" t="str">
        <f t="shared" si="3"/>
        <v/>
      </c>
    </row>
    <row r="82" spans="1:20" x14ac:dyDescent="0.25">
      <c r="A82" s="1">
        <v>45938</v>
      </c>
      <c r="B82" t="s">
        <v>66</v>
      </c>
      <c r="C82" s="16">
        <v>2.75E-2</v>
      </c>
      <c r="D82" s="15"/>
      <c r="F82" s="1"/>
      <c r="R82" s="1"/>
      <c r="S82" s="14" t="str">
        <f t="shared" si="4"/>
        <v/>
      </c>
      <c r="T82" t="str">
        <f t="shared" si="3"/>
        <v/>
      </c>
    </row>
    <row r="83" spans="1:20" x14ac:dyDescent="0.25">
      <c r="A83" s="1">
        <v>45938</v>
      </c>
      <c r="B83" t="s">
        <v>67</v>
      </c>
      <c r="C83" s="16">
        <v>2.75E-2</v>
      </c>
      <c r="D83" s="15"/>
      <c r="F83" s="1"/>
      <c r="R83" s="1"/>
      <c r="S83" s="14" t="str">
        <f t="shared" si="4"/>
        <v/>
      </c>
      <c r="T83" t="str">
        <f t="shared" si="3"/>
        <v/>
      </c>
    </row>
    <row r="84" spans="1:20" x14ac:dyDescent="0.25">
      <c r="A84" s="1">
        <v>45938</v>
      </c>
      <c r="B84" t="s">
        <v>68</v>
      </c>
      <c r="C84" s="16">
        <v>2.75E-2</v>
      </c>
      <c r="D84" s="15"/>
      <c r="F84" s="1"/>
      <c r="R84" s="1"/>
      <c r="S84" s="14" t="str">
        <f t="shared" si="4"/>
        <v/>
      </c>
      <c r="T84" t="str">
        <f t="shared" si="3"/>
        <v/>
      </c>
    </row>
    <row r="85" spans="1:20" x14ac:dyDescent="0.25">
      <c r="A85" s="1">
        <v>45938</v>
      </c>
      <c r="B85" t="s">
        <v>69</v>
      </c>
      <c r="C85" s="16">
        <v>2.75E-2</v>
      </c>
      <c r="D85" s="15"/>
      <c r="F85" s="1"/>
      <c r="R85" s="1"/>
      <c r="S85" s="14" t="str">
        <f t="shared" si="4"/>
        <v/>
      </c>
      <c r="T85" t="str">
        <f t="shared" si="3"/>
        <v/>
      </c>
    </row>
    <row r="86" spans="1:20" x14ac:dyDescent="0.25">
      <c r="A86" s="1">
        <v>45938</v>
      </c>
      <c r="B86" t="s">
        <v>70</v>
      </c>
      <c r="C86" s="16">
        <v>2.4500000000000001E-2</v>
      </c>
      <c r="D86" s="15"/>
      <c r="F86" s="1"/>
      <c r="R86" s="1"/>
      <c r="S86" s="14" t="str">
        <f t="shared" si="4"/>
        <v/>
      </c>
      <c r="T86" t="str">
        <f t="shared" si="3"/>
        <v/>
      </c>
    </row>
    <row r="87" spans="1:20" x14ac:dyDescent="0.25">
      <c r="A87" s="1">
        <v>45938</v>
      </c>
      <c r="B87" t="s">
        <v>71</v>
      </c>
      <c r="C87" s="16">
        <v>2.4500000000000001E-2</v>
      </c>
      <c r="D87" s="15"/>
      <c r="F87" s="1"/>
      <c r="R87" s="1"/>
      <c r="S87" s="14" t="str">
        <f t="shared" si="4"/>
        <v/>
      </c>
      <c r="T87" t="str">
        <f t="shared" si="3"/>
        <v/>
      </c>
    </row>
    <row r="88" spans="1:20" x14ac:dyDescent="0.25">
      <c r="A88" s="1">
        <v>45938</v>
      </c>
      <c r="B88" t="s">
        <v>72</v>
      </c>
      <c r="C88" s="16">
        <v>2.4500000000000001E-2</v>
      </c>
      <c r="D88" s="15"/>
      <c r="F88" s="1"/>
      <c r="R88" s="1"/>
      <c r="S88" s="14" t="str">
        <f t="shared" si="4"/>
        <v/>
      </c>
      <c r="T88" t="str">
        <f t="shared" si="3"/>
        <v/>
      </c>
    </row>
    <row r="89" spans="1:20" x14ac:dyDescent="0.25">
      <c r="A89" s="1">
        <v>45938</v>
      </c>
      <c r="B89" t="s">
        <v>73</v>
      </c>
      <c r="C89" s="16">
        <v>2.4500000000000001E-2</v>
      </c>
      <c r="D89" s="15"/>
      <c r="F89" s="1"/>
      <c r="R89" s="1"/>
      <c r="S89" s="14" t="str">
        <f t="shared" si="4"/>
        <v/>
      </c>
      <c r="T89" t="str">
        <f t="shared" si="3"/>
        <v/>
      </c>
    </row>
    <row r="90" spans="1:20" x14ac:dyDescent="0.25">
      <c r="A90" s="1">
        <v>45938</v>
      </c>
      <c r="B90" t="s">
        <v>74</v>
      </c>
      <c r="C90" s="16">
        <v>2.4500000000000001E-2</v>
      </c>
      <c r="D90" s="15"/>
      <c r="F90" s="1"/>
      <c r="R90" s="1"/>
      <c r="S90" s="14" t="str">
        <f t="shared" si="4"/>
        <v/>
      </c>
      <c r="T90" t="str">
        <f t="shared" si="3"/>
        <v/>
      </c>
    </row>
    <row r="91" spans="1:20" x14ac:dyDescent="0.25">
      <c r="A91" s="1">
        <v>45938</v>
      </c>
      <c r="B91" t="s">
        <v>75</v>
      </c>
      <c r="C91" s="16">
        <v>2.4500000000000001E-2</v>
      </c>
      <c r="D91" s="15"/>
      <c r="F91" s="1"/>
      <c r="R91" s="1"/>
      <c r="S91" s="14" t="str">
        <f t="shared" si="4"/>
        <v/>
      </c>
      <c r="T91" t="str">
        <f t="shared" si="3"/>
        <v/>
      </c>
    </row>
    <row r="92" spans="1:20" x14ac:dyDescent="0.25">
      <c r="A92" s="1">
        <v>45938</v>
      </c>
      <c r="B92" t="s">
        <v>76</v>
      </c>
      <c r="C92" s="16">
        <v>2.4500000000000001E-2</v>
      </c>
      <c r="D92" s="15"/>
      <c r="F92" s="1"/>
      <c r="R92" s="1"/>
      <c r="S92" s="14" t="str">
        <f t="shared" si="4"/>
        <v/>
      </c>
      <c r="T92" t="str">
        <f t="shared" si="3"/>
        <v/>
      </c>
    </row>
    <row r="93" spans="1:20" x14ac:dyDescent="0.25">
      <c r="A93" s="1">
        <v>45938</v>
      </c>
      <c r="B93" t="s">
        <v>77</v>
      </c>
      <c r="C93" s="16">
        <v>2.4500000000000001E-2</v>
      </c>
      <c r="D93" s="15"/>
      <c r="F93" s="1"/>
      <c r="R93" s="1"/>
      <c r="S93" s="14" t="str">
        <f t="shared" si="4"/>
        <v/>
      </c>
      <c r="T93" t="str">
        <f t="shared" si="3"/>
        <v/>
      </c>
    </row>
    <row r="94" spans="1:20" x14ac:dyDescent="0.25">
      <c r="A94" s="1">
        <v>45938</v>
      </c>
      <c r="B94" t="s">
        <v>78</v>
      </c>
      <c r="C94" s="16">
        <v>2.4500000000000001E-2</v>
      </c>
      <c r="D94" s="15"/>
      <c r="F94" s="1"/>
      <c r="R94" s="1"/>
      <c r="S94" s="14" t="str">
        <f t="shared" si="4"/>
        <v/>
      </c>
      <c r="T94" t="str">
        <f t="shared" si="3"/>
        <v/>
      </c>
    </row>
    <row r="95" spans="1:20" x14ac:dyDescent="0.25">
      <c r="A95" s="1">
        <v>45938</v>
      </c>
      <c r="B95" t="s">
        <v>79</v>
      </c>
      <c r="C95" s="16">
        <v>2.4500000000000001E-2</v>
      </c>
      <c r="D95" s="15"/>
      <c r="F95" s="1"/>
      <c r="R95" s="1"/>
      <c r="S95" s="14" t="str">
        <f t="shared" si="4"/>
        <v/>
      </c>
      <c r="T95" t="str">
        <f t="shared" si="3"/>
        <v/>
      </c>
    </row>
    <row r="96" spans="1:20" x14ac:dyDescent="0.25">
      <c r="A96" s="1">
        <v>45938</v>
      </c>
      <c r="B96" t="s">
        <v>80</v>
      </c>
      <c r="C96" s="16">
        <v>2.4500000000000001E-2</v>
      </c>
      <c r="D96" s="15"/>
      <c r="F96" s="1"/>
      <c r="R96" s="1"/>
      <c r="S96" s="14" t="str">
        <f t="shared" si="4"/>
        <v/>
      </c>
      <c r="T96" t="str">
        <f t="shared" si="3"/>
        <v/>
      </c>
    </row>
    <row r="97" spans="1:20" x14ac:dyDescent="0.25">
      <c r="A97" s="1">
        <v>45938</v>
      </c>
      <c r="B97" t="s">
        <v>81</v>
      </c>
      <c r="C97" s="16">
        <v>2.4500000000000001E-2</v>
      </c>
      <c r="D97" s="15"/>
      <c r="F97" s="1"/>
      <c r="R97" s="1"/>
      <c r="S97" s="14" t="str">
        <f t="shared" si="4"/>
        <v/>
      </c>
      <c r="T97" t="str">
        <f t="shared" si="3"/>
        <v/>
      </c>
    </row>
    <row r="98" spans="1:20" x14ac:dyDescent="0.25">
      <c r="A98" s="1">
        <v>45938</v>
      </c>
      <c r="B98" t="s">
        <v>82</v>
      </c>
      <c r="C98" s="16">
        <v>2.4500000000000001E-2</v>
      </c>
      <c r="D98" s="15"/>
      <c r="F98" s="1"/>
      <c r="R98" s="1"/>
      <c r="S98" s="14" t="str">
        <f t="shared" ref="S98:S129" si="5">IF(R98="","",SUMIF(A:A,R98,C:C))</f>
        <v/>
      </c>
      <c r="T98" t="str">
        <f t="shared" si="3"/>
        <v/>
      </c>
    </row>
    <row r="99" spans="1:20" x14ac:dyDescent="0.25">
      <c r="A99" s="1">
        <v>45938</v>
      </c>
      <c r="B99" t="s">
        <v>83</v>
      </c>
      <c r="C99" s="16">
        <v>2.4500000000000001E-2</v>
      </c>
      <c r="D99" s="15"/>
      <c r="F99" s="1"/>
      <c r="R99" s="1"/>
      <c r="S99" s="14" t="str">
        <f t="shared" si="5"/>
        <v/>
      </c>
      <c r="T99" t="str">
        <f t="shared" si="3"/>
        <v/>
      </c>
    </row>
    <row r="100" spans="1:20" x14ac:dyDescent="0.25">
      <c r="A100" s="1">
        <v>45938</v>
      </c>
      <c r="B100" t="s">
        <v>84</v>
      </c>
      <c r="C100" s="16">
        <v>2.1399999999999999E-2</v>
      </c>
      <c r="D100" s="15"/>
      <c r="F100" s="1"/>
      <c r="R100" s="1"/>
      <c r="S100" s="14" t="str">
        <f t="shared" si="5"/>
        <v/>
      </c>
      <c r="T100" t="str">
        <f t="shared" si="3"/>
        <v/>
      </c>
    </row>
    <row r="101" spans="1:20" x14ac:dyDescent="0.25">
      <c r="A101" s="1">
        <v>45938</v>
      </c>
      <c r="B101" t="s">
        <v>85</v>
      </c>
      <c r="C101" s="16">
        <v>2.1399999999999999E-2</v>
      </c>
      <c r="D101" s="15"/>
      <c r="F101" s="1"/>
      <c r="R101" s="1"/>
      <c r="S101" s="14" t="str">
        <f t="shared" si="5"/>
        <v/>
      </c>
      <c r="T101" t="str">
        <f t="shared" si="3"/>
        <v/>
      </c>
    </row>
    <row r="102" spans="1:20" x14ac:dyDescent="0.25">
      <c r="A102" s="1">
        <v>45938</v>
      </c>
      <c r="B102" t="s">
        <v>86</v>
      </c>
      <c r="C102" s="16">
        <v>2.1399999999999999E-2</v>
      </c>
      <c r="D102" s="15"/>
      <c r="F102" s="1"/>
      <c r="R102" s="1"/>
      <c r="S102" s="14" t="str">
        <f t="shared" si="5"/>
        <v/>
      </c>
      <c r="T102" t="str">
        <f t="shared" si="3"/>
        <v/>
      </c>
    </row>
    <row r="103" spans="1:20" x14ac:dyDescent="0.25">
      <c r="A103" s="1">
        <v>45938</v>
      </c>
      <c r="B103" t="s">
        <v>87</v>
      </c>
      <c r="C103" s="16">
        <v>2.1399999999999999E-2</v>
      </c>
      <c r="D103" s="15"/>
      <c r="F103" s="1"/>
      <c r="R103" s="1"/>
      <c r="S103" s="14" t="str">
        <f t="shared" si="5"/>
        <v/>
      </c>
      <c r="T103" t="str">
        <f t="shared" si="3"/>
        <v/>
      </c>
    </row>
    <row r="104" spans="1:20" x14ac:dyDescent="0.25">
      <c r="A104" s="1">
        <v>45938</v>
      </c>
      <c r="B104" t="s">
        <v>88</v>
      </c>
      <c r="C104" s="16">
        <v>2.1399999999999999E-2</v>
      </c>
      <c r="D104" s="15"/>
      <c r="F104" s="1"/>
      <c r="R104" s="1"/>
      <c r="S104" s="14" t="str">
        <f t="shared" si="5"/>
        <v/>
      </c>
      <c r="T104" t="str">
        <f t="shared" si="3"/>
        <v/>
      </c>
    </row>
    <row r="105" spans="1:20" x14ac:dyDescent="0.25">
      <c r="A105" s="1">
        <v>45938</v>
      </c>
      <c r="B105" t="s">
        <v>89</v>
      </c>
      <c r="C105" s="16">
        <v>2.1399999999999999E-2</v>
      </c>
      <c r="D105" s="15"/>
      <c r="F105" s="1"/>
      <c r="R105" s="1"/>
      <c r="S105" s="14" t="str">
        <f t="shared" si="5"/>
        <v/>
      </c>
      <c r="T105" t="str">
        <f t="shared" si="3"/>
        <v/>
      </c>
    </row>
    <row r="106" spans="1:20" x14ac:dyDescent="0.25">
      <c r="A106" s="1">
        <v>45938</v>
      </c>
      <c r="B106" t="s">
        <v>90</v>
      </c>
      <c r="C106" s="16">
        <v>2.1399999999999999E-2</v>
      </c>
      <c r="D106" s="15"/>
      <c r="F106" s="1"/>
      <c r="R106" s="1"/>
      <c r="S106" s="14" t="str">
        <f t="shared" si="5"/>
        <v/>
      </c>
      <c r="T106" t="str">
        <f t="shared" si="3"/>
        <v/>
      </c>
    </row>
    <row r="107" spans="1:20" x14ac:dyDescent="0.25">
      <c r="A107" s="1">
        <v>45938</v>
      </c>
      <c r="B107" t="s">
        <v>91</v>
      </c>
      <c r="C107" s="16">
        <v>1.83E-2</v>
      </c>
      <c r="D107" s="15"/>
      <c r="F107" s="1"/>
      <c r="R107" s="1"/>
      <c r="S107" s="14" t="str">
        <f t="shared" si="5"/>
        <v/>
      </c>
      <c r="T107" t="str">
        <f t="shared" si="3"/>
        <v/>
      </c>
    </row>
    <row r="108" spans="1:20" x14ac:dyDescent="0.25">
      <c r="A108" s="1">
        <v>45938</v>
      </c>
      <c r="B108" t="s">
        <v>137</v>
      </c>
      <c r="C108" s="16">
        <v>1.83E-2</v>
      </c>
      <c r="D108" s="15"/>
      <c r="F108" s="1"/>
      <c r="R108" s="1"/>
      <c r="S108" s="14" t="str">
        <f t="shared" si="5"/>
        <v/>
      </c>
      <c r="T108" t="str">
        <f t="shared" si="3"/>
        <v/>
      </c>
    </row>
    <row r="109" spans="1:20" x14ac:dyDescent="0.25">
      <c r="A109" s="1">
        <v>45938</v>
      </c>
      <c r="B109" t="s">
        <v>92</v>
      </c>
      <c r="C109" s="16">
        <v>1.5299999999999999E-2</v>
      </c>
      <c r="D109" s="15"/>
      <c r="F109" s="1"/>
      <c r="R109" s="1"/>
      <c r="S109" s="14" t="str">
        <f t="shared" si="5"/>
        <v/>
      </c>
      <c r="T109" t="str">
        <f t="shared" si="3"/>
        <v/>
      </c>
    </row>
    <row r="110" spans="1:20" x14ac:dyDescent="0.25">
      <c r="A110" s="1">
        <v>45938</v>
      </c>
      <c r="B110" t="s">
        <v>93</v>
      </c>
      <c r="C110" s="16">
        <v>1.5299999999999999E-2</v>
      </c>
      <c r="D110" s="15"/>
      <c r="F110" s="1"/>
      <c r="R110" s="1"/>
      <c r="S110" s="14" t="str">
        <f t="shared" si="5"/>
        <v/>
      </c>
      <c r="T110" t="str">
        <f t="shared" si="3"/>
        <v/>
      </c>
    </row>
    <row r="111" spans="1:20" x14ac:dyDescent="0.25">
      <c r="A111" s="1">
        <v>45938</v>
      </c>
      <c r="B111" t="s">
        <v>94</v>
      </c>
      <c r="C111" s="16">
        <v>1.5299999999999999E-2</v>
      </c>
      <c r="D111" s="15"/>
      <c r="F111" s="1"/>
      <c r="R111" s="1"/>
      <c r="S111" s="14" t="str">
        <f t="shared" si="5"/>
        <v/>
      </c>
      <c r="T111" t="str">
        <f t="shared" si="3"/>
        <v/>
      </c>
    </row>
    <row r="112" spans="1:20" x14ac:dyDescent="0.25">
      <c r="A112" s="1">
        <v>45938</v>
      </c>
      <c r="B112" t="s">
        <v>95</v>
      </c>
      <c r="C112" s="16">
        <v>1.4999999999999999E-2</v>
      </c>
      <c r="D112" s="15"/>
      <c r="F112" s="1"/>
      <c r="R112" s="1"/>
      <c r="S112" s="14" t="str">
        <f t="shared" si="5"/>
        <v/>
      </c>
      <c r="T112" t="str">
        <f t="shared" si="3"/>
        <v/>
      </c>
    </row>
    <row r="113" spans="1:16" x14ac:dyDescent="0.25">
      <c r="A113" s="1">
        <v>46037</v>
      </c>
      <c r="B113" t="s">
        <v>57</v>
      </c>
      <c r="C113" s="16">
        <v>3.3799999999999997E-2</v>
      </c>
      <c r="N113" s="1"/>
      <c r="O113" s="14" t="str">
        <f>IF(N113="","",SUMIF(A:A,N113,C:C))</f>
        <v/>
      </c>
      <c r="P113" t="str">
        <f t="shared" si="3"/>
        <v/>
      </c>
    </row>
    <row r="114" spans="1:16" x14ac:dyDescent="0.25">
      <c r="A114" s="1">
        <v>46037</v>
      </c>
      <c r="B114" t="s">
        <v>56</v>
      </c>
      <c r="C114" s="16">
        <v>3.3599999999999998E-2</v>
      </c>
      <c r="M114" s="1"/>
      <c r="N114" s="14" t="str">
        <f t="shared" ref="N114:N154" si="6">IF(M114="","",SUMIF(A:A,M114,C:C))</f>
        <v/>
      </c>
      <c r="O114" t="str">
        <f t="shared" si="3"/>
        <v/>
      </c>
    </row>
    <row r="115" spans="1:16" x14ac:dyDescent="0.25">
      <c r="A115" s="1">
        <v>46037</v>
      </c>
      <c r="B115" t="s">
        <v>59</v>
      </c>
      <c r="C115" s="16">
        <v>3.3500000000000002E-2</v>
      </c>
      <c r="M115" s="1"/>
      <c r="N115" s="14" t="str">
        <f t="shared" si="6"/>
        <v/>
      </c>
      <c r="O115" t="str">
        <f t="shared" si="3"/>
        <v/>
      </c>
    </row>
    <row r="116" spans="1:16" x14ac:dyDescent="0.25">
      <c r="A116" s="1">
        <v>46037</v>
      </c>
      <c r="B116" t="s">
        <v>96</v>
      </c>
      <c r="C116" s="16">
        <v>3.04E-2</v>
      </c>
      <c r="M116" s="1"/>
      <c r="N116" s="14" t="str">
        <f t="shared" si="6"/>
        <v/>
      </c>
      <c r="O116" t="str">
        <f t="shared" si="3"/>
        <v/>
      </c>
    </row>
    <row r="117" spans="1:16" x14ac:dyDescent="0.25">
      <c r="A117" s="1">
        <v>46037</v>
      </c>
      <c r="B117" t="s">
        <v>64</v>
      </c>
      <c r="C117" s="16">
        <v>2.86E-2</v>
      </c>
      <c r="M117" s="1"/>
      <c r="N117" s="14" t="str">
        <f t="shared" si="6"/>
        <v/>
      </c>
      <c r="O117" t="str">
        <f t="shared" ref="O117:T180" si="7">IF(N117="","",IF(N117=1,"Portfolio weights sum to 100%", "Portfolio weights do not sum to 100%."))</f>
        <v/>
      </c>
    </row>
    <row r="118" spans="1:16" x14ac:dyDescent="0.25">
      <c r="A118" s="1">
        <v>46037</v>
      </c>
      <c r="B118" t="s">
        <v>97</v>
      </c>
      <c r="C118" s="16">
        <v>2.8500000000000001E-2</v>
      </c>
      <c r="M118" s="1"/>
      <c r="N118" s="14" t="str">
        <f t="shared" si="6"/>
        <v/>
      </c>
      <c r="O118" t="str">
        <f t="shared" si="7"/>
        <v/>
      </c>
    </row>
    <row r="119" spans="1:16" x14ac:dyDescent="0.25">
      <c r="A119" s="1">
        <v>46037</v>
      </c>
      <c r="B119" t="s">
        <v>62</v>
      </c>
      <c r="C119" s="16">
        <v>2.8299999999999999E-2</v>
      </c>
      <c r="M119" s="1"/>
      <c r="N119" s="14" t="str">
        <f t="shared" si="6"/>
        <v/>
      </c>
      <c r="O119" t="str">
        <f t="shared" si="7"/>
        <v/>
      </c>
    </row>
    <row r="120" spans="1:16" x14ac:dyDescent="0.25">
      <c r="A120" s="1">
        <v>46037</v>
      </c>
      <c r="B120" t="s">
        <v>69</v>
      </c>
      <c r="C120" s="16">
        <v>2.7699999999999999E-2</v>
      </c>
      <c r="M120" s="1"/>
      <c r="N120" s="14" t="str">
        <f t="shared" si="6"/>
        <v/>
      </c>
      <c r="O120" t="str">
        <f t="shared" si="7"/>
        <v/>
      </c>
    </row>
    <row r="121" spans="1:16" x14ac:dyDescent="0.25">
      <c r="A121" s="1">
        <v>46037</v>
      </c>
      <c r="B121" t="s">
        <v>83</v>
      </c>
      <c r="C121" s="16">
        <v>2.7099999999999999E-2</v>
      </c>
      <c r="M121" s="1"/>
      <c r="N121" s="14" t="str">
        <f t="shared" si="6"/>
        <v/>
      </c>
      <c r="O121" t="str">
        <f t="shared" si="7"/>
        <v/>
      </c>
    </row>
    <row r="122" spans="1:16" x14ac:dyDescent="0.25">
      <c r="A122" s="1">
        <v>46037</v>
      </c>
      <c r="B122" t="s">
        <v>63</v>
      </c>
      <c r="C122" s="16">
        <v>2.6800000000000001E-2</v>
      </c>
      <c r="M122" s="1"/>
      <c r="N122" s="14" t="str">
        <f t="shared" si="6"/>
        <v/>
      </c>
      <c r="O122" t="str">
        <f t="shared" si="7"/>
        <v/>
      </c>
    </row>
    <row r="123" spans="1:16" x14ac:dyDescent="0.25">
      <c r="A123" s="1">
        <v>46037</v>
      </c>
      <c r="B123" t="s">
        <v>60</v>
      </c>
      <c r="C123" s="16">
        <v>2.6499999999999999E-2</v>
      </c>
      <c r="M123" s="1"/>
      <c r="N123" s="14" t="str">
        <f t="shared" si="6"/>
        <v/>
      </c>
      <c r="O123" t="str">
        <f t="shared" si="7"/>
        <v/>
      </c>
    </row>
    <row r="124" spans="1:16" x14ac:dyDescent="0.25">
      <c r="A124" s="1">
        <v>46037</v>
      </c>
      <c r="B124" t="s">
        <v>61</v>
      </c>
      <c r="C124" s="16">
        <v>2.6200000000000001E-2</v>
      </c>
      <c r="M124" s="1"/>
      <c r="N124" s="14" t="str">
        <f t="shared" si="6"/>
        <v/>
      </c>
      <c r="O124" t="str">
        <f t="shared" si="7"/>
        <v/>
      </c>
    </row>
    <row r="125" spans="1:16" x14ac:dyDescent="0.25">
      <c r="A125" s="1">
        <v>46037</v>
      </c>
      <c r="B125" t="s">
        <v>98</v>
      </c>
      <c r="C125" s="16">
        <v>2.58E-2</v>
      </c>
      <c r="M125" s="1"/>
      <c r="N125" s="14" t="str">
        <f t="shared" si="6"/>
        <v/>
      </c>
      <c r="O125" t="str">
        <f t="shared" si="7"/>
        <v/>
      </c>
    </row>
    <row r="126" spans="1:16" x14ac:dyDescent="0.25">
      <c r="A126" s="1">
        <v>46037</v>
      </c>
      <c r="B126" t="s">
        <v>71</v>
      </c>
      <c r="C126" s="16">
        <v>2.58E-2</v>
      </c>
      <c r="M126" s="1"/>
      <c r="N126" s="14" t="str">
        <f t="shared" si="6"/>
        <v/>
      </c>
      <c r="O126" t="str">
        <f t="shared" si="7"/>
        <v/>
      </c>
    </row>
    <row r="127" spans="1:16" x14ac:dyDescent="0.25">
      <c r="A127" s="1">
        <v>46037</v>
      </c>
      <c r="B127" t="s">
        <v>99</v>
      </c>
      <c r="C127" s="16">
        <v>2.5100000000000001E-2</v>
      </c>
      <c r="M127" s="1"/>
      <c r="N127" s="14" t="str">
        <f t="shared" si="6"/>
        <v/>
      </c>
      <c r="O127" t="str">
        <f t="shared" si="7"/>
        <v/>
      </c>
    </row>
    <row r="128" spans="1:16" x14ac:dyDescent="0.25">
      <c r="A128" s="1">
        <v>46037</v>
      </c>
      <c r="B128" t="s">
        <v>68</v>
      </c>
      <c r="C128" s="16">
        <v>2.5100000000000001E-2</v>
      </c>
      <c r="M128" s="1"/>
      <c r="N128" s="14" t="str">
        <f t="shared" si="6"/>
        <v/>
      </c>
      <c r="O128" t="str">
        <f t="shared" si="7"/>
        <v/>
      </c>
    </row>
    <row r="129" spans="1:15" x14ac:dyDescent="0.25">
      <c r="A129" s="1">
        <v>46037</v>
      </c>
      <c r="B129" t="s">
        <v>74</v>
      </c>
      <c r="C129" s="16">
        <v>2.4899999999999999E-2</v>
      </c>
      <c r="M129" s="1"/>
      <c r="N129" s="14" t="str">
        <f t="shared" si="6"/>
        <v/>
      </c>
      <c r="O129" t="str">
        <f t="shared" si="7"/>
        <v/>
      </c>
    </row>
    <row r="130" spans="1:15" x14ac:dyDescent="0.25">
      <c r="A130" s="1">
        <v>46037</v>
      </c>
      <c r="B130" t="s">
        <v>72</v>
      </c>
      <c r="C130" s="16">
        <v>2.4899999999999999E-2</v>
      </c>
      <c r="M130" s="1"/>
      <c r="N130" s="14" t="str">
        <f t="shared" si="6"/>
        <v/>
      </c>
      <c r="O130" t="str">
        <f t="shared" si="7"/>
        <v/>
      </c>
    </row>
    <row r="131" spans="1:15" x14ac:dyDescent="0.25">
      <c r="A131" s="1">
        <v>46037</v>
      </c>
      <c r="B131" t="s">
        <v>76</v>
      </c>
      <c r="C131" s="16">
        <v>2.4500000000000001E-2</v>
      </c>
      <c r="M131" s="1"/>
      <c r="N131" s="14" t="str">
        <f t="shared" si="6"/>
        <v/>
      </c>
      <c r="O131" t="str">
        <f t="shared" si="7"/>
        <v/>
      </c>
    </row>
    <row r="132" spans="1:15" x14ac:dyDescent="0.25">
      <c r="A132" s="1">
        <v>46037</v>
      </c>
      <c r="B132" t="s">
        <v>77</v>
      </c>
      <c r="C132" s="16">
        <v>2.4400000000000002E-2</v>
      </c>
      <c r="M132" s="1"/>
      <c r="N132" s="14" t="str">
        <f t="shared" si="6"/>
        <v/>
      </c>
      <c r="O132" t="str">
        <f t="shared" si="7"/>
        <v/>
      </c>
    </row>
    <row r="133" spans="1:15" x14ac:dyDescent="0.25">
      <c r="A133" s="1">
        <v>46037</v>
      </c>
      <c r="B133" t="s">
        <v>78</v>
      </c>
      <c r="C133" s="16">
        <v>2.4299999999999999E-2</v>
      </c>
      <c r="M133" s="1"/>
      <c r="N133" s="14" t="str">
        <f t="shared" si="6"/>
        <v/>
      </c>
      <c r="O133" t="str">
        <f t="shared" si="7"/>
        <v/>
      </c>
    </row>
    <row r="134" spans="1:15" x14ac:dyDescent="0.25">
      <c r="A134" s="1">
        <v>46037</v>
      </c>
      <c r="B134" t="s">
        <v>85</v>
      </c>
      <c r="C134" s="16">
        <v>2.41E-2</v>
      </c>
      <c r="M134" s="1"/>
      <c r="N134" s="14" t="str">
        <f t="shared" si="6"/>
        <v/>
      </c>
      <c r="O134" t="str">
        <f t="shared" si="7"/>
        <v/>
      </c>
    </row>
    <row r="135" spans="1:15" x14ac:dyDescent="0.25">
      <c r="A135" s="1">
        <v>46037</v>
      </c>
      <c r="B135" t="s">
        <v>65</v>
      </c>
      <c r="C135" s="16">
        <v>2.4E-2</v>
      </c>
      <c r="M135" s="1"/>
      <c r="N135" s="14" t="str">
        <f t="shared" si="6"/>
        <v/>
      </c>
      <c r="O135" t="str">
        <f t="shared" si="7"/>
        <v/>
      </c>
    </row>
    <row r="136" spans="1:15" x14ac:dyDescent="0.25">
      <c r="A136" s="1">
        <v>46037</v>
      </c>
      <c r="B136" t="s">
        <v>82</v>
      </c>
      <c r="C136" s="16">
        <v>2.3900000000000001E-2</v>
      </c>
      <c r="M136" s="1"/>
      <c r="N136" s="14" t="str">
        <f t="shared" si="6"/>
        <v/>
      </c>
      <c r="O136" t="str">
        <f t="shared" si="7"/>
        <v/>
      </c>
    </row>
    <row r="137" spans="1:15" x14ac:dyDescent="0.25">
      <c r="A137" s="1">
        <v>46037</v>
      </c>
      <c r="B137" t="s">
        <v>75</v>
      </c>
      <c r="C137" s="16">
        <v>2.3800000000000002E-2</v>
      </c>
      <c r="M137" s="1"/>
      <c r="N137" s="14" t="str">
        <f t="shared" si="6"/>
        <v/>
      </c>
      <c r="O137" t="str">
        <f t="shared" si="7"/>
        <v/>
      </c>
    </row>
    <row r="138" spans="1:15" x14ac:dyDescent="0.25">
      <c r="A138" s="1">
        <v>46037</v>
      </c>
      <c r="B138" t="s">
        <v>70</v>
      </c>
      <c r="C138" s="16">
        <v>2.3599999999999999E-2</v>
      </c>
      <c r="M138" s="1"/>
      <c r="N138" s="14" t="str">
        <f t="shared" si="6"/>
        <v/>
      </c>
      <c r="O138" t="str">
        <f t="shared" si="7"/>
        <v/>
      </c>
    </row>
    <row r="139" spans="1:15" x14ac:dyDescent="0.25">
      <c r="A139" s="1">
        <v>46037</v>
      </c>
      <c r="B139" t="s">
        <v>100</v>
      </c>
      <c r="C139" s="16">
        <v>2.2499999999999999E-2</v>
      </c>
      <c r="M139" s="1"/>
      <c r="N139" s="14" t="str">
        <f t="shared" si="6"/>
        <v/>
      </c>
      <c r="O139" t="str">
        <f t="shared" si="7"/>
        <v/>
      </c>
    </row>
    <row r="140" spans="1:15" x14ac:dyDescent="0.25">
      <c r="A140" s="1">
        <v>46037</v>
      </c>
      <c r="B140" t="s">
        <v>80</v>
      </c>
      <c r="C140" s="16">
        <v>2.1999999999999999E-2</v>
      </c>
      <c r="M140" s="1"/>
      <c r="N140" s="14" t="str">
        <f t="shared" si="6"/>
        <v/>
      </c>
      <c r="O140" t="str">
        <f t="shared" si="7"/>
        <v/>
      </c>
    </row>
    <row r="141" spans="1:15" x14ac:dyDescent="0.25">
      <c r="A141" s="1">
        <v>46037</v>
      </c>
      <c r="B141" t="s">
        <v>101</v>
      </c>
      <c r="C141" s="16">
        <v>2.1399999999999999E-2</v>
      </c>
      <c r="M141" s="1"/>
      <c r="N141" s="14" t="str">
        <f t="shared" si="6"/>
        <v/>
      </c>
      <c r="O141" t="str">
        <f t="shared" si="7"/>
        <v/>
      </c>
    </row>
    <row r="142" spans="1:15" x14ac:dyDescent="0.25">
      <c r="A142" s="1">
        <v>46037</v>
      </c>
      <c r="B142" t="s">
        <v>102</v>
      </c>
      <c r="C142" s="16">
        <v>2.1299999999999999E-2</v>
      </c>
      <c r="M142" s="1"/>
      <c r="N142" s="14" t="str">
        <f t="shared" si="6"/>
        <v/>
      </c>
      <c r="O142" t="str">
        <f t="shared" si="7"/>
        <v/>
      </c>
    </row>
    <row r="143" spans="1:15" x14ac:dyDescent="0.25">
      <c r="A143" s="1">
        <v>46037</v>
      </c>
      <c r="B143" t="s">
        <v>81</v>
      </c>
      <c r="C143" s="16">
        <v>2.12E-2</v>
      </c>
      <c r="M143" s="1"/>
      <c r="N143" s="14" t="str">
        <f t="shared" si="6"/>
        <v/>
      </c>
      <c r="O143" t="str">
        <f t="shared" si="7"/>
        <v/>
      </c>
    </row>
    <row r="144" spans="1:15" x14ac:dyDescent="0.25">
      <c r="A144" s="1">
        <v>46037</v>
      </c>
      <c r="B144" t="s">
        <v>86</v>
      </c>
      <c r="C144" s="16">
        <v>2.1100000000000001E-2</v>
      </c>
      <c r="M144" s="1"/>
      <c r="N144" s="14" t="str">
        <f t="shared" si="6"/>
        <v/>
      </c>
      <c r="O144" t="str">
        <f t="shared" si="7"/>
        <v/>
      </c>
    </row>
    <row r="145" spans="1:20" x14ac:dyDescent="0.25">
      <c r="A145" s="1">
        <v>46037</v>
      </c>
      <c r="B145" t="s">
        <v>91</v>
      </c>
      <c r="C145" s="16">
        <v>2.07E-2</v>
      </c>
      <c r="M145" s="1"/>
      <c r="N145" s="14" t="str">
        <f t="shared" si="6"/>
        <v/>
      </c>
      <c r="O145" t="str">
        <f t="shared" si="7"/>
        <v/>
      </c>
    </row>
    <row r="146" spans="1:20" x14ac:dyDescent="0.25">
      <c r="A146" s="1">
        <v>46037</v>
      </c>
      <c r="B146" t="s">
        <v>79</v>
      </c>
      <c r="C146" s="16">
        <v>2.0500000000000001E-2</v>
      </c>
      <c r="M146" s="1"/>
      <c r="N146" s="14" t="str">
        <f t="shared" si="6"/>
        <v/>
      </c>
      <c r="O146" t="str">
        <f t="shared" si="7"/>
        <v/>
      </c>
    </row>
    <row r="147" spans="1:20" x14ac:dyDescent="0.25">
      <c r="A147" s="1">
        <v>46037</v>
      </c>
      <c r="B147" t="s">
        <v>73</v>
      </c>
      <c r="C147" s="16">
        <v>2.0400000000000001E-2</v>
      </c>
      <c r="M147" s="1"/>
      <c r="N147" s="14" t="str">
        <f t="shared" si="6"/>
        <v/>
      </c>
      <c r="O147" t="str">
        <f t="shared" si="7"/>
        <v/>
      </c>
    </row>
    <row r="148" spans="1:20" x14ac:dyDescent="0.25">
      <c r="A148" s="1">
        <v>46037</v>
      </c>
      <c r="B148" t="s">
        <v>88</v>
      </c>
      <c r="C148" s="16">
        <v>2.0199999999999999E-2</v>
      </c>
      <c r="M148" s="1"/>
      <c r="N148" s="14" t="str">
        <f t="shared" si="6"/>
        <v/>
      </c>
      <c r="O148" t="str">
        <f t="shared" si="7"/>
        <v/>
      </c>
    </row>
    <row r="149" spans="1:20" x14ac:dyDescent="0.25">
      <c r="A149" s="1">
        <v>46037</v>
      </c>
      <c r="B149" t="s">
        <v>90</v>
      </c>
      <c r="C149" s="16">
        <v>2.01E-2</v>
      </c>
      <c r="M149" s="1"/>
      <c r="N149" s="14" t="str">
        <f t="shared" si="6"/>
        <v/>
      </c>
      <c r="O149" t="str">
        <f t="shared" si="7"/>
        <v/>
      </c>
    </row>
    <row r="150" spans="1:20" x14ac:dyDescent="0.25">
      <c r="A150" s="1">
        <v>46037</v>
      </c>
      <c r="B150" t="s">
        <v>93</v>
      </c>
      <c r="C150" s="16">
        <v>1.8800000000000001E-2</v>
      </c>
      <c r="M150" s="1"/>
      <c r="N150" s="14" t="str">
        <f t="shared" si="6"/>
        <v/>
      </c>
      <c r="O150" t="str">
        <f t="shared" si="7"/>
        <v/>
      </c>
    </row>
    <row r="151" spans="1:20" x14ac:dyDescent="0.25">
      <c r="A151" s="1">
        <v>46037</v>
      </c>
      <c r="B151" t="s">
        <v>138</v>
      </c>
      <c r="C151" s="16">
        <v>1.8700000000000001E-2</v>
      </c>
      <c r="M151" s="1"/>
      <c r="N151" s="14" t="str">
        <f t="shared" si="6"/>
        <v/>
      </c>
      <c r="O151" t="str">
        <f t="shared" si="7"/>
        <v/>
      </c>
    </row>
    <row r="152" spans="1:20" x14ac:dyDescent="0.25">
      <c r="A152" s="1">
        <v>46037</v>
      </c>
      <c r="B152" t="s">
        <v>103</v>
      </c>
      <c r="C152" s="16">
        <v>1.8100000000000002E-2</v>
      </c>
      <c r="M152" s="1"/>
      <c r="N152" s="14" t="str">
        <f t="shared" si="6"/>
        <v/>
      </c>
      <c r="O152" t="str">
        <f t="shared" si="7"/>
        <v/>
      </c>
    </row>
    <row r="153" spans="1:20" x14ac:dyDescent="0.25">
      <c r="A153" s="1">
        <v>46037</v>
      </c>
      <c r="B153" t="s">
        <v>87</v>
      </c>
      <c r="C153" s="16">
        <v>1.78E-2</v>
      </c>
      <c r="M153" s="1"/>
      <c r="N153" s="14" t="str">
        <f t="shared" si="6"/>
        <v/>
      </c>
      <c r="O153" t="str">
        <f t="shared" si="7"/>
        <v/>
      </c>
    </row>
    <row r="154" spans="1:20" x14ac:dyDescent="0.25">
      <c r="A154" s="1">
        <v>46132</v>
      </c>
      <c r="B154" t="s">
        <v>57</v>
      </c>
      <c r="C154" s="16">
        <v>6.5000000000000002E-2</v>
      </c>
      <c r="D154" s="2"/>
      <c r="F154" s="1"/>
      <c r="L154" s="15"/>
      <c r="N154" s="14" t="str">
        <f t="shared" si="6"/>
        <v/>
      </c>
      <c r="O154" t="str">
        <f t="shared" si="7"/>
        <v/>
      </c>
      <c r="R154" s="1"/>
      <c r="S154" s="14" t="str">
        <f t="shared" ref="S154:S217" si="8">IF(R154="","",SUMIF(A:A,R154,C:C))</f>
        <v/>
      </c>
      <c r="T154" t="str">
        <f t="shared" si="7"/>
        <v/>
      </c>
    </row>
    <row r="155" spans="1:20" x14ac:dyDescent="0.25">
      <c r="A155" s="1">
        <v>46132</v>
      </c>
      <c r="B155" t="s">
        <v>104</v>
      </c>
      <c r="C155" s="16">
        <v>5.8399999999999987E-2</v>
      </c>
      <c r="D155" s="2"/>
      <c r="F155" s="1"/>
      <c r="R155" s="1"/>
      <c r="S155" s="14" t="str">
        <f t="shared" si="8"/>
        <v/>
      </c>
      <c r="T155" t="str">
        <f t="shared" si="7"/>
        <v/>
      </c>
    </row>
    <row r="156" spans="1:20" x14ac:dyDescent="0.25">
      <c r="A156" s="1">
        <v>46132</v>
      </c>
      <c r="B156" t="s">
        <v>56</v>
      </c>
      <c r="C156" s="16">
        <v>5.7000000000000002E-2</v>
      </c>
      <c r="D156" s="2"/>
      <c r="F156" s="1"/>
      <c r="R156" s="1"/>
      <c r="S156" s="14" t="str">
        <f t="shared" si="8"/>
        <v/>
      </c>
      <c r="T156" t="str">
        <f t="shared" si="7"/>
        <v/>
      </c>
    </row>
    <row r="157" spans="1:20" x14ac:dyDescent="0.25">
      <c r="A157" s="1">
        <v>46132</v>
      </c>
      <c r="B157" t="s">
        <v>72</v>
      </c>
      <c r="C157" s="16">
        <v>5.2499999999999998E-2</v>
      </c>
      <c r="D157" s="2"/>
      <c r="F157" s="1"/>
      <c r="R157" s="1"/>
      <c r="S157" s="14" t="str">
        <f t="shared" si="8"/>
        <v/>
      </c>
      <c r="T157" t="str">
        <f t="shared" si="7"/>
        <v/>
      </c>
    </row>
    <row r="158" spans="1:20" x14ac:dyDescent="0.25">
      <c r="A158" s="1">
        <v>46132</v>
      </c>
      <c r="B158" t="s">
        <v>59</v>
      </c>
      <c r="C158" s="16">
        <v>3.6499999999999998E-2</v>
      </c>
      <c r="D158" s="2"/>
      <c r="F158" s="1"/>
      <c r="R158" s="1"/>
      <c r="S158" s="14" t="str">
        <f t="shared" si="8"/>
        <v/>
      </c>
      <c r="T158" t="str">
        <f t="shared" si="7"/>
        <v/>
      </c>
    </row>
    <row r="159" spans="1:20" x14ac:dyDescent="0.25">
      <c r="A159" s="1">
        <v>46132</v>
      </c>
      <c r="B159" t="s">
        <v>58</v>
      </c>
      <c r="C159" s="16">
        <v>3.6299999999999999E-2</v>
      </c>
      <c r="D159" s="2"/>
      <c r="F159" s="1"/>
      <c r="R159" s="1"/>
      <c r="S159" s="14" t="str">
        <f t="shared" si="8"/>
        <v/>
      </c>
      <c r="T159" t="str">
        <f t="shared" si="7"/>
        <v/>
      </c>
    </row>
    <row r="160" spans="1:20" x14ac:dyDescent="0.25">
      <c r="A160" s="1">
        <v>46132</v>
      </c>
      <c r="B160" t="s">
        <v>78</v>
      </c>
      <c r="C160" s="16">
        <v>3.0000000000000006E-2</v>
      </c>
      <c r="D160" s="2"/>
      <c r="F160" s="1"/>
      <c r="R160" s="1"/>
      <c r="S160" s="14" t="str">
        <f t="shared" si="8"/>
        <v/>
      </c>
      <c r="T160" t="str">
        <f t="shared" si="7"/>
        <v/>
      </c>
    </row>
    <row r="161" spans="1:20" x14ac:dyDescent="0.25">
      <c r="A161" s="1">
        <v>46132</v>
      </c>
      <c r="B161" t="s">
        <v>105</v>
      </c>
      <c r="C161" s="16">
        <v>2.5000000000000001E-2</v>
      </c>
      <c r="F161" s="1"/>
      <c r="R161" s="1"/>
      <c r="S161" s="14" t="str">
        <f t="shared" si="8"/>
        <v/>
      </c>
      <c r="T161" t="str">
        <f t="shared" si="7"/>
        <v/>
      </c>
    </row>
    <row r="162" spans="1:20" x14ac:dyDescent="0.25">
      <c r="A162" s="1">
        <v>46132</v>
      </c>
      <c r="B162" t="s">
        <v>106</v>
      </c>
      <c r="C162" s="16">
        <v>2.5000000000000001E-2</v>
      </c>
      <c r="D162" s="2"/>
      <c r="F162" s="1"/>
      <c r="R162" s="1"/>
      <c r="S162" s="14" t="str">
        <f t="shared" si="8"/>
        <v/>
      </c>
      <c r="T162" t="str">
        <f t="shared" si="7"/>
        <v/>
      </c>
    </row>
    <row r="163" spans="1:20" x14ac:dyDescent="0.25">
      <c r="A163" s="1">
        <v>46132</v>
      </c>
      <c r="B163" t="s">
        <v>71</v>
      </c>
      <c r="C163" s="16">
        <v>2.5000000000000001E-2</v>
      </c>
      <c r="D163" s="2"/>
      <c r="F163" s="1"/>
      <c r="R163" s="1"/>
      <c r="S163" s="14" t="str">
        <f t="shared" si="8"/>
        <v/>
      </c>
      <c r="T163" t="str">
        <f t="shared" si="7"/>
        <v/>
      </c>
    </row>
    <row r="164" spans="1:20" x14ac:dyDescent="0.25">
      <c r="A164" s="1">
        <v>46132</v>
      </c>
      <c r="B164" t="s">
        <v>107</v>
      </c>
      <c r="C164" s="16">
        <v>2.5000000000000001E-2</v>
      </c>
      <c r="D164" s="2"/>
      <c r="F164" s="1"/>
      <c r="R164" s="1"/>
      <c r="S164" s="14" t="str">
        <f t="shared" si="8"/>
        <v/>
      </c>
      <c r="T164" t="str">
        <f t="shared" si="7"/>
        <v/>
      </c>
    </row>
    <row r="165" spans="1:20" x14ac:dyDescent="0.25">
      <c r="A165" s="1">
        <v>46132</v>
      </c>
      <c r="B165" t="s">
        <v>108</v>
      </c>
      <c r="C165" s="16">
        <v>0.02</v>
      </c>
      <c r="D165" s="2"/>
      <c r="F165" s="1"/>
      <c r="R165" s="1"/>
      <c r="S165" s="14" t="str">
        <f t="shared" si="8"/>
        <v/>
      </c>
      <c r="T165" t="str">
        <f t="shared" si="7"/>
        <v/>
      </c>
    </row>
    <row r="166" spans="1:20" x14ac:dyDescent="0.25">
      <c r="A166" s="1">
        <v>46132</v>
      </c>
      <c r="B166" t="s">
        <v>109</v>
      </c>
      <c r="C166" s="16">
        <v>1.8799999999999997E-2</v>
      </c>
      <c r="D166" s="2"/>
      <c r="F166" s="1"/>
      <c r="R166" s="1"/>
      <c r="S166" s="14" t="str">
        <f t="shared" si="8"/>
        <v/>
      </c>
      <c r="T166" t="str">
        <f t="shared" si="7"/>
        <v/>
      </c>
    </row>
    <row r="167" spans="1:20" x14ac:dyDescent="0.25">
      <c r="A167" s="1">
        <v>46132</v>
      </c>
      <c r="B167" t="s">
        <v>90</v>
      </c>
      <c r="C167" s="16">
        <v>1.7500000000000002E-2</v>
      </c>
      <c r="D167" s="2"/>
      <c r="F167" s="1"/>
      <c r="R167" s="1"/>
      <c r="S167" s="14" t="str">
        <f t="shared" si="8"/>
        <v/>
      </c>
      <c r="T167" t="str">
        <f t="shared" si="7"/>
        <v/>
      </c>
    </row>
    <row r="168" spans="1:20" x14ac:dyDescent="0.25">
      <c r="A168" s="1">
        <v>46132</v>
      </c>
      <c r="B168" t="s">
        <v>110</v>
      </c>
      <c r="C168" s="16">
        <v>1.7500000000000002E-2</v>
      </c>
      <c r="D168" s="2"/>
      <c r="F168" s="1"/>
      <c r="R168" s="1"/>
      <c r="S168" s="14" t="str">
        <f t="shared" si="8"/>
        <v/>
      </c>
      <c r="T168" t="str">
        <f t="shared" si="7"/>
        <v/>
      </c>
    </row>
    <row r="169" spans="1:20" x14ac:dyDescent="0.25">
      <c r="A169" s="1">
        <v>46132</v>
      </c>
      <c r="B169" t="s">
        <v>111</v>
      </c>
      <c r="C169" s="16">
        <v>1.6500000000000001E-2</v>
      </c>
      <c r="D169" s="2"/>
      <c r="F169" s="1"/>
      <c r="R169" s="1"/>
      <c r="S169" s="14" t="str">
        <f t="shared" si="8"/>
        <v/>
      </c>
      <c r="T169" t="str">
        <f t="shared" si="7"/>
        <v/>
      </c>
    </row>
    <row r="170" spans="1:20" x14ac:dyDescent="0.25">
      <c r="A170" s="1">
        <v>46132</v>
      </c>
      <c r="B170" t="s">
        <v>79</v>
      </c>
      <c r="C170" s="16">
        <v>1.5000000000000003E-2</v>
      </c>
      <c r="D170" s="2"/>
      <c r="F170" s="1"/>
      <c r="R170" s="1"/>
      <c r="S170" s="14" t="str">
        <f t="shared" si="8"/>
        <v/>
      </c>
      <c r="T170" t="str">
        <f t="shared" si="7"/>
        <v/>
      </c>
    </row>
    <row r="171" spans="1:20" x14ac:dyDescent="0.25">
      <c r="A171" s="1">
        <v>46132</v>
      </c>
      <c r="B171" t="s">
        <v>112</v>
      </c>
      <c r="C171" s="16">
        <v>1.5000000000000003E-2</v>
      </c>
      <c r="F171" s="1"/>
      <c r="R171" s="1"/>
      <c r="S171" s="14" t="str">
        <f t="shared" si="8"/>
        <v/>
      </c>
      <c r="T171" t="str">
        <f t="shared" si="7"/>
        <v/>
      </c>
    </row>
    <row r="172" spans="1:20" x14ac:dyDescent="0.25">
      <c r="A172" s="1">
        <v>46132</v>
      </c>
      <c r="B172" t="s">
        <v>113</v>
      </c>
      <c r="C172" s="16">
        <v>1.5000000000000003E-2</v>
      </c>
      <c r="D172" s="2"/>
      <c r="F172" s="1"/>
      <c r="R172" s="1"/>
      <c r="S172" s="14" t="str">
        <f t="shared" si="8"/>
        <v/>
      </c>
      <c r="T172" t="str">
        <f t="shared" si="7"/>
        <v/>
      </c>
    </row>
    <row r="173" spans="1:20" x14ac:dyDescent="0.25">
      <c r="A173" s="1">
        <v>46132</v>
      </c>
      <c r="B173" t="s">
        <v>114</v>
      </c>
      <c r="C173" s="16">
        <v>1.5000000000000003E-2</v>
      </c>
      <c r="D173" s="2"/>
      <c r="F173" s="1"/>
      <c r="R173" s="1"/>
      <c r="S173" s="14" t="str">
        <f t="shared" si="8"/>
        <v/>
      </c>
      <c r="T173" t="str">
        <f t="shared" si="7"/>
        <v/>
      </c>
    </row>
    <row r="174" spans="1:20" x14ac:dyDescent="0.25">
      <c r="A174" s="1">
        <v>46132</v>
      </c>
      <c r="B174" t="s">
        <v>70</v>
      </c>
      <c r="C174" s="16">
        <v>1.5000000000000003E-2</v>
      </c>
      <c r="D174" s="2"/>
      <c r="F174" s="1"/>
      <c r="R174" s="1"/>
      <c r="S174" s="14" t="str">
        <f t="shared" si="8"/>
        <v/>
      </c>
      <c r="T174" t="str">
        <f t="shared" si="7"/>
        <v/>
      </c>
    </row>
    <row r="175" spans="1:20" x14ac:dyDescent="0.25">
      <c r="A175" s="1">
        <v>46132</v>
      </c>
      <c r="B175" t="s">
        <v>115</v>
      </c>
      <c r="C175" s="16">
        <v>1.5000000000000003E-2</v>
      </c>
      <c r="D175" s="2"/>
      <c r="F175" s="1"/>
      <c r="R175" s="1"/>
      <c r="S175" s="14" t="str">
        <f t="shared" si="8"/>
        <v/>
      </c>
      <c r="T175" t="str">
        <f t="shared" si="7"/>
        <v/>
      </c>
    </row>
    <row r="176" spans="1:20" x14ac:dyDescent="0.25">
      <c r="A176" s="1">
        <v>46132</v>
      </c>
      <c r="B176" t="s">
        <v>63</v>
      </c>
      <c r="C176" s="16">
        <v>1.5000000000000003E-2</v>
      </c>
      <c r="D176" s="2"/>
      <c r="F176" s="1"/>
      <c r="R176" s="1"/>
      <c r="S176" s="14" t="str">
        <f t="shared" si="8"/>
        <v/>
      </c>
      <c r="T176" t="str">
        <f t="shared" si="7"/>
        <v/>
      </c>
    </row>
    <row r="177" spans="1:20" x14ac:dyDescent="0.25">
      <c r="A177" s="1">
        <v>46132</v>
      </c>
      <c r="B177" t="s">
        <v>76</v>
      </c>
      <c r="C177" s="16">
        <v>1.5000000000000003E-2</v>
      </c>
      <c r="D177" s="2"/>
      <c r="F177" s="1"/>
      <c r="R177" s="1"/>
      <c r="S177" s="14" t="str">
        <f t="shared" si="8"/>
        <v/>
      </c>
      <c r="T177" t="str">
        <f t="shared" si="7"/>
        <v/>
      </c>
    </row>
    <row r="178" spans="1:20" x14ac:dyDescent="0.25">
      <c r="A178" s="1">
        <v>46132</v>
      </c>
      <c r="B178" t="s">
        <v>116</v>
      </c>
      <c r="C178" s="16">
        <v>1.3500000000000002E-2</v>
      </c>
      <c r="D178" s="2"/>
      <c r="F178" s="1"/>
      <c r="R178" s="1"/>
      <c r="S178" s="14" t="str">
        <f t="shared" si="8"/>
        <v/>
      </c>
      <c r="T178" t="str">
        <f t="shared" si="7"/>
        <v/>
      </c>
    </row>
    <row r="179" spans="1:20" x14ac:dyDescent="0.25">
      <c r="A179" s="1">
        <v>46132</v>
      </c>
      <c r="B179" t="s">
        <v>117</v>
      </c>
      <c r="C179" s="16">
        <v>1.3000000000000001E-2</v>
      </c>
      <c r="D179" s="2"/>
      <c r="F179" s="1"/>
      <c r="R179" s="1"/>
      <c r="S179" s="14" t="str">
        <f t="shared" si="8"/>
        <v/>
      </c>
      <c r="T179" t="str">
        <f t="shared" si="7"/>
        <v/>
      </c>
    </row>
    <row r="180" spans="1:20" x14ac:dyDescent="0.25">
      <c r="A180" s="1">
        <v>46132</v>
      </c>
      <c r="B180" t="s">
        <v>73</v>
      </c>
      <c r="C180" s="16">
        <v>1.2500000000000001E-2</v>
      </c>
      <c r="D180" s="2"/>
      <c r="F180" s="1"/>
      <c r="R180" s="1"/>
      <c r="S180" s="14" t="str">
        <f t="shared" si="8"/>
        <v/>
      </c>
      <c r="T180" t="str">
        <f t="shared" si="7"/>
        <v/>
      </c>
    </row>
    <row r="181" spans="1:20" x14ac:dyDescent="0.25">
      <c r="A181" s="1">
        <v>46132</v>
      </c>
      <c r="B181" t="s">
        <v>138</v>
      </c>
      <c r="C181" s="16">
        <v>1.2500000000000001E-2</v>
      </c>
      <c r="F181" s="1"/>
      <c r="R181" s="1"/>
      <c r="S181" s="14" t="str">
        <f t="shared" si="8"/>
        <v/>
      </c>
      <c r="T181" t="str">
        <f t="shared" ref="T181:T244" si="9">IF(S181="","",IF(S181=1,"Portfolio weights sum to 100%", "Portfolio weights do not sum to 100%."))</f>
        <v/>
      </c>
    </row>
    <row r="182" spans="1:20" x14ac:dyDescent="0.25">
      <c r="A182" s="1">
        <v>46132</v>
      </c>
      <c r="B182" t="s">
        <v>118</v>
      </c>
      <c r="C182" s="16">
        <v>1.2500000000000001E-2</v>
      </c>
      <c r="D182" s="2"/>
      <c r="F182" s="1"/>
      <c r="R182" s="1"/>
      <c r="S182" s="14" t="str">
        <f t="shared" si="8"/>
        <v/>
      </c>
      <c r="T182" t="str">
        <f t="shared" si="9"/>
        <v/>
      </c>
    </row>
    <row r="183" spans="1:20" x14ac:dyDescent="0.25">
      <c r="A183" s="1">
        <v>46132</v>
      </c>
      <c r="B183" t="s">
        <v>119</v>
      </c>
      <c r="C183" s="16">
        <v>1.2500000000000001E-2</v>
      </c>
      <c r="D183" s="2"/>
      <c r="F183" s="1"/>
      <c r="R183" s="1"/>
      <c r="S183" s="14" t="str">
        <f t="shared" si="8"/>
        <v/>
      </c>
      <c r="T183" t="str">
        <f t="shared" si="9"/>
        <v/>
      </c>
    </row>
    <row r="184" spans="1:20" x14ac:dyDescent="0.25">
      <c r="A184" s="1">
        <v>46132</v>
      </c>
      <c r="B184" t="s">
        <v>120</v>
      </c>
      <c r="C184" s="16">
        <v>1.2500000000000001E-2</v>
      </c>
      <c r="D184" s="2"/>
      <c r="F184" s="1"/>
      <c r="R184" s="1"/>
      <c r="S184" s="14" t="str">
        <f t="shared" si="8"/>
        <v/>
      </c>
      <c r="T184" t="str">
        <f t="shared" si="9"/>
        <v/>
      </c>
    </row>
    <row r="185" spans="1:20" x14ac:dyDescent="0.25">
      <c r="A185" s="1">
        <v>46132</v>
      </c>
      <c r="B185" t="s">
        <v>121</v>
      </c>
      <c r="C185" s="16">
        <v>1.2500000000000001E-2</v>
      </c>
      <c r="D185" s="2"/>
      <c r="F185" s="1"/>
      <c r="R185" s="1"/>
      <c r="S185" s="14" t="str">
        <f t="shared" si="8"/>
        <v/>
      </c>
      <c r="T185" t="str">
        <f t="shared" si="9"/>
        <v/>
      </c>
    </row>
    <row r="186" spans="1:20" x14ac:dyDescent="0.25">
      <c r="A186" s="1">
        <v>46132</v>
      </c>
      <c r="B186" t="s">
        <v>62</v>
      </c>
      <c r="C186" s="16">
        <v>1.2500000000000001E-2</v>
      </c>
      <c r="D186" s="2"/>
      <c r="F186" s="1"/>
      <c r="R186" s="1"/>
      <c r="S186" s="14" t="str">
        <f t="shared" si="8"/>
        <v/>
      </c>
      <c r="T186" t="str">
        <f t="shared" si="9"/>
        <v/>
      </c>
    </row>
    <row r="187" spans="1:20" x14ac:dyDescent="0.25">
      <c r="A187" s="1">
        <v>46132</v>
      </c>
      <c r="B187" t="s">
        <v>68</v>
      </c>
      <c r="C187" s="16">
        <v>1.2500000000000001E-2</v>
      </c>
      <c r="D187" s="2"/>
      <c r="F187" s="1"/>
      <c r="R187" s="1"/>
      <c r="S187" s="14" t="str">
        <f t="shared" si="8"/>
        <v/>
      </c>
      <c r="T187" t="str">
        <f t="shared" si="9"/>
        <v/>
      </c>
    </row>
    <row r="188" spans="1:20" x14ac:dyDescent="0.25">
      <c r="A188" s="1">
        <v>46132</v>
      </c>
      <c r="B188" t="s">
        <v>122</v>
      </c>
      <c r="C188" s="16">
        <v>1.2500000000000001E-2</v>
      </c>
      <c r="D188" s="2"/>
      <c r="F188" s="1"/>
      <c r="R188" s="1"/>
      <c r="S188" s="14" t="str">
        <f t="shared" si="8"/>
        <v/>
      </c>
      <c r="T188" t="str">
        <f t="shared" si="9"/>
        <v/>
      </c>
    </row>
    <row r="189" spans="1:20" x14ac:dyDescent="0.25">
      <c r="A189" s="1">
        <v>46132</v>
      </c>
      <c r="B189" t="s">
        <v>77</v>
      </c>
      <c r="C189" s="16">
        <v>1.2500000000000001E-2</v>
      </c>
      <c r="D189" s="2"/>
      <c r="F189" s="1"/>
      <c r="R189" s="1"/>
      <c r="S189" s="14" t="str">
        <f t="shared" si="8"/>
        <v/>
      </c>
      <c r="T189" t="str">
        <f t="shared" si="9"/>
        <v/>
      </c>
    </row>
    <row r="190" spans="1:20" x14ac:dyDescent="0.25">
      <c r="A190" s="1">
        <v>46132</v>
      </c>
      <c r="B190" t="s">
        <v>123</v>
      </c>
      <c r="C190" s="16">
        <v>1.2500000000000001E-2</v>
      </c>
      <c r="D190" s="2"/>
      <c r="F190" s="1"/>
      <c r="R190" s="1"/>
      <c r="S190" s="14" t="str">
        <f t="shared" si="8"/>
        <v/>
      </c>
      <c r="T190" t="str">
        <f t="shared" si="9"/>
        <v/>
      </c>
    </row>
    <row r="191" spans="1:20" x14ac:dyDescent="0.25">
      <c r="A191" s="1">
        <v>46132</v>
      </c>
      <c r="B191" t="s">
        <v>124</v>
      </c>
      <c r="C191" s="16">
        <v>1.2500000000000001E-2</v>
      </c>
      <c r="F191" s="1"/>
      <c r="R191" s="1"/>
      <c r="S191" s="14" t="str">
        <f t="shared" si="8"/>
        <v/>
      </c>
      <c r="T191" t="str">
        <f t="shared" si="9"/>
        <v/>
      </c>
    </row>
    <row r="192" spans="1:20" x14ac:dyDescent="0.25">
      <c r="A192" s="1">
        <v>46132</v>
      </c>
      <c r="B192" t="s">
        <v>125</v>
      </c>
      <c r="C192" s="16">
        <v>1.2500000000000001E-2</v>
      </c>
      <c r="D192" s="2"/>
      <c r="F192" s="1"/>
      <c r="R192" s="1"/>
      <c r="S192" s="14" t="str">
        <f t="shared" si="8"/>
        <v/>
      </c>
      <c r="T192" t="str">
        <f t="shared" si="9"/>
        <v/>
      </c>
    </row>
    <row r="193" spans="1:20" x14ac:dyDescent="0.25">
      <c r="A193" s="1">
        <v>46132</v>
      </c>
      <c r="B193" t="s">
        <v>85</v>
      </c>
      <c r="C193" s="16">
        <v>1.2500000000000001E-2</v>
      </c>
      <c r="D193" s="2"/>
      <c r="F193" s="1"/>
      <c r="R193" s="1"/>
      <c r="S193" s="14" t="str">
        <f t="shared" si="8"/>
        <v/>
      </c>
      <c r="T193" t="str">
        <f t="shared" si="9"/>
        <v/>
      </c>
    </row>
    <row r="194" spans="1:20" x14ac:dyDescent="0.25">
      <c r="A194" s="1">
        <v>46132</v>
      </c>
      <c r="B194" t="s">
        <v>126</v>
      </c>
      <c r="C194" s="16">
        <v>1.2500000000000001E-2</v>
      </c>
      <c r="D194" s="2"/>
      <c r="F194" s="1"/>
      <c r="R194" s="1"/>
      <c r="S194" s="14" t="str">
        <f t="shared" si="8"/>
        <v/>
      </c>
      <c r="T194" t="str">
        <f t="shared" si="9"/>
        <v/>
      </c>
    </row>
    <row r="195" spans="1:20" x14ac:dyDescent="0.25">
      <c r="A195" s="1">
        <v>46132</v>
      </c>
      <c r="B195" t="s">
        <v>127</v>
      </c>
      <c r="C195" s="16">
        <v>1.2500000000000001E-2</v>
      </c>
      <c r="D195" s="2"/>
      <c r="F195" s="1"/>
      <c r="R195" s="1"/>
      <c r="S195" s="14" t="str">
        <f t="shared" si="8"/>
        <v/>
      </c>
      <c r="T195" t="str">
        <f t="shared" si="9"/>
        <v/>
      </c>
    </row>
    <row r="196" spans="1:20" x14ac:dyDescent="0.25">
      <c r="A196" s="1">
        <v>46132</v>
      </c>
      <c r="B196" t="s">
        <v>128</v>
      </c>
      <c r="C196" s="16">
        <v>1.2500000000000001E-2</v>
      </c>
      <c r="D196" s="2"/>
      <c r="F196" s="1"/>
      <c r="R196" s="1"/>
      <c r="S196" s="14" t="str">
        <f t="shared" si="8"/>
        <v/>
      </c>
      <c r="T196" t="str">
        <f t="shared" si="9"/>
        <v/>
      </c>
    </row>
    <row r="197" spans="1:20" x14ac:dyDescent="0.25">
      <c r="A197" s="1">
        <v>46132</v>
      </c>
      <c r="B197" t="s">
        <v>81</v>
      </c>
      <c r="C197" s="16">
        <v>1.2500000000000001E-2</v>
      </c>
      <c r="D197" s="2"/>
      <c r="F197" s="1"/>
      <c r="R197" s="1"/>
      <c r="S197" s="14" t="str">
        <f t="shared" si="8"/>
        <v/>
      </c>
      <c r="T197" t="str">
        <f t="shared" si="9"/>
        <v/>
      </c>
    </row>
    <row r="198" spans="1:20" x14ac:dyDescent="0.25">
      <c r="A198" s="1">
        <v>46132</v>
      </c>
      <c r="B198" t="s">
        <v>129</v>
      </c>
      <c r="C198" s="16">
        <v>1.2500000000000001E-2</v>
      </c>
      <c r="D198" s="2"/>
      <c r="F198" s="1"/>
      <c r="R198" s="1"/>
      <c r="S198" s="14" t="str">
        <f t="shared" si="8"/>
        <v/>
      </c>
      <c r="T198" t="str">
        <f t="shared" si="9"/>
        <v/>
      </c>
    </row>
    <row r="199" spans="1:20" x14ac:dyDescent="0.25">
      <c r="A199" s="1">
        <v>46132</v>
      </c>
      <c r="B199" t="s">
        <v>130</v>
      </c>
      <c r="C199" s="16">
        <v>1.2500000000000001E-2</v>
      </c>
      <c r="D199" s="2"/>
      <c r="F199" s="1"/>
      <c r="R199" s="1"/>
      <c r="S199" s="14" t="str">
        <f t="shared" si="8"/>
        <v/>
      </c>
      <c r="T199" t="str">
        <f t="shared" si="9"/>
        <v/>
      </c>
    </row>
    <row r="200" spans="1:20" x14ac:dyDescent="0.25">
      <c r="A200" s="1">
        <v>46132</v>
      </c>
      <c r="B200" t="s">
        <v>87</v>
      </c>
      <c r="C200" s="16">
        <v>1.2500000000000001E-2</v>
      </c>
      <c r="D200" s="2"/>
      <c r="F200" s="1"/>
      <c r="R200" s="1"/>
      <c r="S200" s="14" t="str">
        <f t="shared" si="8"/>
        <v/>
      </c>
      <c r="T200" t="str">
        <f t="shared" si="9"/>
        <v/>
      </c>
    </row>
    <row r="201" spans="1:20" x14ac:dyDescent="0.25">
      <c r="A201" s="1">
        <v>46132</v>
      </c>
      <c r="B201" t="s">
        <v>131</v>
      </c>
      <c r="C201" s="16">
        <v>1.2500000000000001E-2</v>
      </c>
      <c r="F201" s="1"/>
      <c r="R201" s="1"/>
      <c r="S201" s="14" t="str">
        <f t="shared" si="8"/>
        <v/>
      </c>
      <c r="T201" t="str">
        <f t="shared" si="9"/>
        <v/>
      </c>
    </row>
    <row r="202" spans="1:20" x14ac:dyDescent="0.25">
      <c r="A202" s="1">
        <v>46132</v>
      </c>
      <c r="B202" t="s">
        <v>132</v>
      </c>
      <c r="C202" s="16">
        <v>1.2500000000000001E-2</v>
      </c>
      <c r="D202" s="2"/>
      <c r="F202" s="1"/>
      <c r="R202" s="1"/>
      <c r="S202" s="14" t="str">
        <f t="shared" si="8"/>
        <v/>
      </c>
      <c r="T202" t="str">
        <f t="shared" si="9"/>
        <v/>
      </c>
    </row>
    <row r="203" spans="1:20" x14ac:dyDescent="0.25">
      <c r="A203" s="1">
        <v>46132</v>
      </c>
      <c r="B203" t="s">
        <v>133</v>
      </c>
      <c r="C203" s="16">
        <v>0.01</v>
      </c>
      <c r="D203" s="2"/>
      <c r="F203" s="1"/>
      <c r="R203" s="1"/>
      <c r="S203" s="14" t="str">
        <f t="shared" si="8"/>
        <v/>
      </c>
      <c r="T203" t="str">
        <f t="shared" si="9"/>
        <v/>
      </c>
    </row>
    <row r="204" spans="1:20" x14ac:dyDescent="0.25">
      <c r="A204" s="1">
        <v>46132</v>
      </c>
      <c r="B204" t="s">
        <v>134</v>
      </c>
      <c r="C204" s="16">
        <v>0.01</v>
      </c>
      <c r="D204" s="2"/>
      <c r="F204" s="1"/>
      <c r="R204" s="1"/>
      <c r="S204" s="14" t="str">
        <f t="shared" si="8"/>
        <v/>
      </c>
      <c r="T204" t="str">
        <f t="shared" si="9"/>
        <v/>
      </c>
    </row>
    <row r="205" spans="1:20" x14ac:dyDescent="0.25">
      <c r="A205" s="1">
        <v>46132</v>
      </c>
      <c r="B205" t="s">
        <v>135</v>
      </c>
      <c r="C205" s="16">
        <v>0.01</v>
      </c>
      <c r="D205" s="2"/>
      <c r="F205" s="1"/>
      <c r="R205" s="1"/>
      <c r="S205" s="14" t="str">
        <f t="shared" si="8"/>
        <v/>
      </c>
      <c r="T205" t="str">
        <f t="shared" si="9"/>
        <v/>
      </c>
    </row>
    <row r="206" spans="1:20" x14ac:dyDescent="0.25">
      <c r="A206" s="1">
        <v>46132</v>
      </c>
      <c r="B206" t="s">
        <v>136</v>
      </c>
      <c r="C206" s="16">
        <v>0.01</v>
      </c>
      <c r="D206" s="2"/>
      <c r="F206" s="1"/>
      <c r="R206" s="1"/>
      <c r="S206" s="14" t="str">
        <f t="shared" si="8"/>
        <v/>
      </c>
      <c r="T206" t="str">
        <f t="shared" si="9"/>
        <v/>
      </c>
    </row>
    <row r="207" spans="1:20" x14ac:dyDescent="0.25">
      <c r="A207" s="1">
        <v>46232</v>
      </c>
      <c r="B207" t="s">
        <v>57</v>
      </c>
      <c r="C207" s="16">
        <v>6.5000000000000002E-2</v>
      </c>
      <c r="D207" s="2"/>
      <c r="F207" s="1"/>
      <c r="R207" s="1"/>
      <c r="S207" s="14" t="str">
        <f t="shared" si="8"/>
        <v/>
      </c>
      <c r="T207" t="str">
        <f t="shared" si="9"/>
        <v/>
      </c>
    </row>
    <row r="208" spans="1:20" x14ac:dyDescent="0.25">
      <c r="A208" s="1">
        <v>46232</v>
      </c>
      <c r="B208" t="s">
        <v>104</v>
      </c>
      <c r="C208" s="16">
        <v>5.8399999999999987E-2</v>
      </c>
      <c r="D208" s="2"/>
      <c r="F208" s="1"/>
      <c r="R208" s="1"/>
      <c r="S208" s="14" t="str">
        <f t="shared" si="8"/>
        <v/>
      </c>
      <c r="T208" t="str">
        <f t="shared" si="9"/>
        <v/>
      </c>
    </row>
    <row r="209" spans="1:20" x14ac:dyDescent="0.25">
      <c r="A209" s="1">
        <v>46232</v>
      </c>
      <c r="B209" t="s">
        <v>56</v>
      </c>
      <c r="C209" s="16">
        <v>5.7000000000000002E-2</v>
      </c>
      <c r="D209" s="2"/>
      <c r="F209" s="1"/>
      <c r="R209" s="1"/>
      <c r="S209" s="14" t="str">
        <f t="shared" si="8"/>
        <v/>
      </c>
      <c r="T209" t="str">
        <f t="shared" si="9"/>
        <v/>
      </c>
    </row>
    <row r="210" spans="1:20" x14ac:dyDescent="0.25">
      <c r="A210" s="1">
        <v>46232</v>
      </c>
      <c r="B210" t="s">
        <v>72</v>
      </c>
      <c r="C210" s="16">
        <v>6.5000000000000002E-2</v>
      </c>
      <c r="D210" s="2"/>
      <c r="F210" s="1"/>
      <c r="R210" s="1"/>
      <c r="S210" s="14" t="str">
        <f t="shared" si="8"/>
        <v/>
      </c>
      <c r="T210" t="str">
        <f t="shared" si="9"/>
        <v/>
      </c>
    </row>
    <row r="211" spans="1:20" x14ac:dyDescent="0.25">
      <c r="A211" s="1">
        <v>46232</v>
      </c>
      <c r="B211" t="s">
        <v>59</v>
      </c>
      <c r="C211" s="16">
        <v>3.6499999999999998E-2</v>
      </c>
      <c r="F211" s="1"/>
      <c r="R211" s="1"/>
      <c r="S211" s="14" t="str">
        <f t="shared" si="8"/>
        <v/>
      </c>
      <c r="T211" t="str">
        <f t="shared" si="9"/>
        <v/>
      </c>
    </row>
    <row r="212" spans="1:20" x14ac:dyDescent="0.25">
      <c r="A212" s="1">
        <v>46232</v>
      </c>
      <c r="B212" t="s">
        <v>58</v>
      </c>
      <c r="C212" s="16">
        <v>3.6299999999999999E-2</v>
      </c>
      <c r="D212" s="2"/>
      <c r="F212" s="1"/>
      <c r="R212" s="1"/>
      <c r="S212" s="14" t="str">
        <f t="shared" si="8"/>
        <v/>
      </c>
      <c r="T212" t="str">
        <f t="shared" si="9"/>
        <v/>
      </c>
    </row>
    <row r="213" spans="1:20" x14ac:dyDescent="0.25">
      <c r="A213" s="1">
        <v>46232</v>
      </c>
      <c r="B213" t="s">
        <v>78</v>
      </c>
      <c r="C213" s="16">
        <v>3.0000000000000006E-2</v>
      </c>
      <c r="D213" s="2"/>
      <c r="F213" s="1"/>
      <c r="R213" s="1"/>
      <c r="S213" s="14" t="str">
        <f t="shared" si="8"/>
        <v/>
      </c>
      <c r="T213" t="str">
        <f t="shared" si="9"/>
        <v/>
      </c>
    </row>
    <row r="214" spans="1:20" x14ac:dyDescent="0.25">
      <c r="A214" s="1">
        <v>46232</v>
      </c>
      <c r="B214" t="s">
        <v>105</v>
      </c>
      <c r="C214" s="16">
        <v>2.5000000000000001E-2</v>
      </c>
      <c r="D214" s="2"/>
      <c r="F214" s="1"/>
      <c r="R214" s="1"/>
      <c r="S214" s="14" t="str">
        <f t="shared" si="8"/>
        <v/>
      </c>
      <c r="T214" t="str">
        <f t="shared" si="9"/>
        <v/>
      </c>
    </row>
    <row r="215" spans="1:20" x14ac:dyDescent="0.25">
      <c r="A215" s="1">
        <v>46232</v>
      </c>
      <c r="B215" t="s">
        <v>106</v>
      </c>
      <c r="C215" s="16">
        <v>2.5000000000000001E-2</v>
      </c>
      <c r="D215" s="2"/>
      <c r="F215" s="1"/>
      <c r="R215" s="1"/>
      <c r="S215" s="14" t="str">
        <f t="shared" si="8"/>
        <v/>
      </c>
      <c r="T215" t="str">
        <f t="shared" si="9"/>
        <v/>
      </c>
    </row>
    <row r="216" spans="1:20" x14ac:dyDescent="0.25">
      <c r="A216" s="1">
        <v>46232</v>
      </c>
      <c r="B216" t="s">
        <v>71</v>
      </c>
      <c r="C216" s="16">
        <v>2.5000000000000001E-2</v>
      </c>
      <c r="D216" s="2"/>
      <c r="F216" s="1"/>
      <c r="R216" s="1"/>
      <c r="S216" s="14" t="str">
        <f t="shared" si="8"/>
        <v/>
      </c>
      <c r="T216" t="str">
        <f t="shared" si="9"/>
        <v/>
      </c>
    </row>
    <row r="217" spans="1:20" x14ac:dyDescent="0.25">
      <c r="A217" s="1">
        <v>46232</v>
      </c>
      <c r="B217" t="s">
        <v>107</v>
      </c>
      <c r="C217" s="16">
        <v>2.5000000000000001E-2</v>
      </c>
      <c r="D217" s="2"/>
      <c r="F217" s="1"/>
      <c r="R217" s="1"/>
      <c r="S217" s="14" t="str">
        <f t="shared" si="8"/>
        <v/>
      </c>
      <c r="T217" t="str">
        <f t="shared" si="9"/>
        <v/>
      </c>
    </row>
    <row r="218" spans="1:20" x14ac:dyDescent="0.25">
      <c r="A218" s="1">
        <v>46232</v>
      </c>
      <c r="B218" t="s">
        <v>108</v>
      </c>
      <c r="C218" s="16">
        <v>0.02</v>
      </c>
      <c r="D218" s="2"/>
      <c r="F218" s="1"/>
      <c r="R218" s="1"/>
      <c r="S218" s="14" t="str">
        <f t="shared" ref="S218:S281" si="10">IF(R218="","",SUMIF(A:A,R218,C:C))</f>
        <v/>
      </c>
      <c r="T218" t="str">
        <f t="shared" si="9"/>
        <v/>
      </c>
    </row>
    <row r="219" spans="1:20" x14ac:dyDescent="0.25">
      <c r="A219" s="1">
        <v>46232</v>
      </c>
      <c r="B219" t="s">
        <v>109</v>
      </c>
      <c r="C219" s="16">
        <v>1.8799999999999997E-2</v>
      </c>
      <c r="D219" s="2"/>
      <c r="F219" s="1"/>
      <c r="R219" s="1"/>
      <c r="S219" s="14" t="str">
        <f t="shared" si="10"/>
        <v/>
      </c>
      <c r="T219" t="str">
        <f t="shared" si="9"/>
        <v/>
      </c>
    </row>
    <row r="220" spans="1:20" x14ac:dyDescent="0.25">
      <c r="A220" s="1">
        <v>46232</v>
      </c>
      <c r="B220" t="s">
        <v>90</v>
      </c>
      <c r="C220" s="16">
        <v>1.7500000000000002E-2</v>
      </c>
      <c r="D220" s="2"/>
      <c r="F220" s="1"/>
      <c r="R220" s="1"/>
      <c r="S220" s="14" t="str">
        <f t="shared" si="10"/>
        <v/>
      </c>
      <c r="T220" t="str">
        <f t="shared" si="9"/>
        <v/>
      </c>
    </row>
    <row r="221" spans="1:20" x14ac:dyDescent="0.25">
      <c r="A221" s="1">
        <v>46232</v>
      </c>
      <c r="B221" t="s">
        <v>110</v>
      </c>
      <c r="C221" s="16">
        <v>1.7500000000000002E-2</v>
      </c>
      <c r="F221" s="1"/>
      <c r="R221" s="1"/>
      <c r="S221" s="14" t="str">
        <f t="shared" si="10"/>
        <v/>
      </c>
      <c r="T221" t="str">
        <f t="shared" si="9"/>
        <v/>
      </c>
    </row>
    <row r="222" spans="1:20" x14ac:dyDescent="0.25">
      <c r="A222" s="1">
        <v>46232</v>
      </c>
      <c r="B222" t="s">
        <v>111</v>
      </c>
      <c r="C222" s="16">
        <v>1.6500000000000001E-2</v>
      </c>
      <c r="D222" s="2"/>
      <c r="F222" s="1"/>
      <c r="R222" s="1"/>
      <c r="S222" s="14" t="str">
        <f t="shared" si="10"/>
        <v/>
      </c>
      <c r="T222" t="str">
        <f t="shared" si="9"/>
        <v/>
      </c>
    </row>
    <row r="223" spans="1:20" x14ac:dyDescent="0.25">
      <c r="A223" s="1">
        <v>46232</v>
      </c>
      <c r="B223" t="s">
        <v>79</v>
      </c>
      <c r="C223" s="16">
        <v>1.5000000000000003E-2</v>
      </c>
      <c r="D223" s="2"/>
      <c r="F223" s="1"/>
      <c r="R223" s="1"/>
      <c r="S223" s="14" t="str">
        <f t="shared" si="10"/>
        <v/>
      </c>
      <c r="T223" t="str">
        <f t="shared" si="9"/>
        <v/>
      </c>
    </row>
    <row r="224" spans="1:20" x14ac:dyDescent="0.25">
      <c r="A224" s="1">
        <v>46232</v>
      </c>
      <c r="B224" t="s">
        <v>112</v>
      </c>
      <c r="C224" s="16">
        <v>1.5000000000000003E-2</v>
      </c>
      <c r="D224" s="2"/>
      <c r="F224" s="1"/>
      <c r="R224" s="1"/>
      <c r="S224" s="14" t="str">
        <f t="shared" si="10"/>
        <v/>
      </c>
      <c r="T224" t="str">
        <f t="shared" si="9"/>
        <v/>
      </c>
    </row>
    <row r="225" spans="1:20" x14ac:dyDescent="0.25">
      <c r="A225" s="1">
        <v>46232</v>
      </c>
      <c r="B225" t="s">
        <v>113</v>
      </c>
      <c r="C225" s="16">
        <v>1.5000000000000003E-2</v>
      </c>
      <c r="D225" s="2"/>
      <c r="F225" s="1"/>
      <c r="R225" s="1"/>
      <c r="S225" s="14" t="str">
        <f t="shared" si="10"/>
        <v/>
      </c>
      <c r="T225" t="str">
        <f t="shared" si="9"/>
        <v/>
      </c>
    </row>
    <row r="226" spans="1:20" x14ac:dyDescent="0.25">
      <c r="A226" s="1">
        <v>46232</v>
      </c>
      <c r="B226" t="s">
        <v>114</v>
      </c>
      <c r="C226" s="16">
        <v>1.5000000000000003E-2</v>
      </c>
      <c r="D226" s="2"/>
      <c r="F226" s="1"/>
      <c r="R226" s="1"/>
      <c r="S226" s="14" t="str">
        <f t="shared" si="10"/>
        <v/>
      </c>
      <c r="T226" t="str">
        <f t="shared" si="9"/>
        <v/>
      </c>
    </row>
    <row r="227" spans="1:20" x14ac:dyDescent="0.25">
      <c r="A227" s="1">
        <v>46232</v>
      </c>
      <c r="B227" t="s">
        <v>70</v>
      </c>
      <c r="C227" s="16">
        <v>1.5000000000000003E-2</v>
      </c>
      <c r="D227" s="2"/>
      <c r="F227" s="1"/>
      <c r="R227" s="1"/>
      <c r="S227" s="14" t="str">
        <f t="shared" si="10"/>
        <v/>
      </c>
      <c r="T227" t="str">
        <f t="shared" si="9"/>
        <v/>
      </c>
    </row>
    <row r="228" spans="1:20" x14ac:dyDescent="0.25">
      <c r="A228" s="1">
        <v>46232</v>
      </c>
      <c r="B228" t="s">
        <v>115</v>
      </c>
      <c r="C228" s="16">
        <v>1.5000000000000003E-2</v>
      </c>
      <c r="D228" s="2"/>
      <c r="F228" s="1"/>
      <c r="R228" s="1"/>
      <c r="S228" s="14" t="str">
        <f t="shared" si="10"/>
        <v/>
      </c>
      <c r="T228" t="str">
        <f t="shared" si="9"/>
        <v/>
      </c>
    </row>
    <row r="229" spans="1:20" x14ac:dyDescent="0.25">
      <c r="A229" s="1">
        <v>46232</v>
      </c>
      <c r="B229" t="s">
        <v>63</v>
      </c>
      <c r="C229" s="16">
        <v>1.5000000000000003E-2</v>
      </c>
      <c r="D229" s="2"/>
      <c r="F229" s="1"/>
      <c r="R229" s="1"/>
      <c r="S229" s="14" t="str">
        <f t="shared" si="10"/>
        <v/>
      </c>
      <c r="T229" t="str">
        <f t="shared" si="9"/>
        <v/>
      </c>
    </row>
    <row r="230" spans="1:20" x14ac:dyDescent="0.25">
      <c r="A230" s="1">
        <v>46232</v>
      </c>
      <c r="B230" t="s">
        <v>76</v>
      </c>
      <c r="C230" s="16">
        <v>1.5000000000000003E-2</v>
      </c>
      <c r="D230" s="2"/>
      <c r="F230" s="1"/>
      <c r="R230" s="1"/>
      <c r="S230" s="14" t="str">
        <f t="shared" si="10"/>
        <v/>
      </c>
      <c r="T230" t="str">
        <f t="shared" si="9"/>
        <v/>
      </c>
    </row>
    <row r="231" spans="1:20" x14ac:dyDescent="0.25">
      <c r="A231" s="1">
        <v>46232</v>
      </c>
      <c r="B231" t="s">
        <v>116</v>
      </c>
      <c r="C231" s="16">
        <v>1.3500000000000002E-2</v>
      </c>
      <c r="F231" s="1"/>
      <c r="R231" s="1"/>
      <c r="S231" s="14" t="str">
        <f t="shared" si="10"/>
        <v/>
      </c>
      <c r="T231" t="str">
        <f t="shared" si="9"/>
        <v/>
      </c>
    </row>
    <row r="232" spans="1:20" x14ac:dyDescent="0.25">
      <c r="A232" s="1">
        <v>46232</v>
      </c>
      <c r="B232" t="s">
        <v>117</v>
      </c>
      <c r="C232" s="16">
        <v>1.3000000000000001E-2</v>
      </c>
      <c r="D232" s="2"/>
      <c r="F232" s="1"/>
      <c r="R232" s="1"/>
      <c r="S232" s="14" t="str">
        <f t="shared" si="10"/>
        <v/>
      </c>
      <c r="T232" t="str">
        <f t="shared" si="9"/>
        <v/>
      </c>
    </row>
    <row r="233" spans="1:20" x14ac:dyDescent="0.25">
      <c r="A233" s="1">
        <v>46232</v>
      </c>
      <c r="B233" t="s">
        <v>73</v>
      </c>
      <c r="C233" s="16">
        <v>1.2500000000000001E-2</v>
      </c>
      <c r="D233" s="2"/>
      <c r="F233" s="1"/>
      <c r="R233" s="1"/>
      <c r="S233" s="14" t="str">
        <f t="shared" si="10"/>
        <v/>
      </c>
      <c r="T233" t="str">
        <f t="shared" si="9"/>
        <v/>
      </c>
    </row>
    <row r="234" spans="1:20" x14ac:dyDescent="0.25">
      <c r="A234" s="1">
        <v>46232</v>
      </c>
      <c r="B234" t="s">
        <v>138</v>
      </c>
      <c r="C234" s="16">
        <v>1.2500000000000001E-2</v>
      </c>
      <c r="D234" s="2"/>
      <c r="F234" s="1"/>
      <c r="R234" s="1"/>
      <c r="S234" s="14" t="str">
        <f t="shared" si="10"/>
        <v/>
      </c>
      <c r="T234" t="str">
        <f t="shared" si="9"/>
        <v/>
      </c>
    </row>
    <row r="235" spans="1:20" x14ac:dyDescent="0.25">
      <c r="A235" s="1">
        <v>46232</v>
      </c>
      <c r="B235" t="s">
        <v>118</v>
      </c>
      <c r="C235" s="16">
        <v>1.2500000000000001E-2</v>
      </c>
      <c r="D235" s="2"/>
      <c r="F235" s="1"/>
      <c r="R235" s="1"/>
      <c r="S235" s="14" t="str">
        <f t="shared" si="10"/>
        <v/>
      </c>
      <c r="T235" t="str">
        <f t="shared" si="9"/>
        <v/>
      </c>
    </row>
    <row r="236" spans="1:20" x14ac:dyDescent="0.25">
      <c r="A236" s="1">
        <v>46232</v>
      </c>
      <c r="B236" t="s">
        <v>119</v>
      </c>
      <c r="C236" s="16">
        <v>1.2500000000000001E-2</v>
      </c>
      <c r="D236" s="2"/>
      <c r="F236" s="1"/>
      <c r="R236" s="1"/>
      <c r="S236" s="14" t="str">
        <f t="shared" si="10"/>
        <v/>
      </c>
      <c r="T236" t="str">
        <f t="shared" si="9"/>
        <v/>
      </c>
    </row>
    <row r="237" spans="1:20" x14ac:dyDescent="0.25">
      <c r="A237" s="1">
        <v>46232</v>
      </c>
      <c r="B237" t="s">
        <v>120</v>
      </c>
      <c r="C237" s="16">
        <v>1.2500000000000001E-2</v>
      </c>
      <c r="D237" s="2"/>
      <c r="F237" s="1"/>
      <c r="R237" s="1"/>
      <c r="S237" s="14" t="str">
        <f t="shared" si="10"/>
        <v/>
      </c>
      <c r="T237" t="str">
        <f t="shared" si="9"/>
        <v/>
      </c>
    </row>
    <row r="238" spans="1:20" x14ac:dyDescent="0.25">
      <c r="A238" s="1">
        <v>46232</v>
      </c>
      <c r="B238" t="s">
        <v>121</v>
      </c>
      <c r="C238" s="16">
        <v>1.2500000000000001E-2</v>
      </c>
      <c r="D238" s="2"/>
      <c r="F238" s="1"/>
      <c r="R238" s="1"/>
      <c r="S238" s="14" t="str">
        <f t="shared" si="10"/>
        <v/>
      </c>
      <c r="T238" t="str">
        <f t="shared" si="9"/>
        <v/>
      </c>
    </row>
    <row r="239" spans="1:20" x14ac:dyDescent="0.25">
      <c r="A239" s="1">
        <v>46232</v>
      </c>
      <c r="B239" t="s">
        <v>62</v>
      </c>
      <c r="C239" s="16">
        <v>1.2500000000000001E-2</v>
      </c>
      <c r="D239" s="2"/>
      <c r="F239" s="1"/>
      <c r="R239" s="1"/>
      <c r="S239" s="14" t="str">
        <f t="shared" si="10"/>
        <v/>
      </c>
      <c r="T239" t="str">
        <f t="shared" si="9"/>
        <v/>
      </c>
    </row>
    <row r="240" spans="1:20" x14ac:dyDescent="0.25">
      <c r="A240" s="1">
        <v>46232</v>
      </c>
      <c r="B240" t="s">
        <v>68</v>
      </c>
      <c r="C240" s="16">
        <v>1.2500000000000001E-2</v>
      </c>
      <c r="D240" s="2"/>
      <c r="F240" s="1"/>
      <c r="R240" s="1"/>
      <c r="S240" s="14" t="str">
        <f t="shared" si="10"/>
        <v/>
      </c>
      <c r="T240" t="str">
        <f t="shared" si="9"/>
        <v/>
      </c>
    </row>
    <row r="241" spans="1:20" x14ac:dyDescent="0.25">
      <c r="A241" s="1">
        <v>46232</v>
      </c>
      <c r="B241" t="s">
        <v>122</v>
      </c>
      <c r="C241" s="16">
        <v>1.2500000000000001E-2</v>
      </c>
      <c r="F241" s="1"/>
      <c r="R241" s="1"/>
      <c r="S241" s="14" t="str">
        <f t="shared" si="10"/>
        <v/>
      </c>
      <c r="T241" t="str">
        <f t="shared" si="9"/>
        <v/>
      </c>
    </row>
    <row r="242" spans="1:20" x14ac:dyDescent="0.25">
      <c r="A242" s="1">
        <v>46232</v>
      </c>
      <c r="B242" t="s">
        <v>77</v>
      </c>
      <c r="C242" s="16">
        <v>1.2500000000000001E-2</v>
      </c>
      <c r="D242" s="2"/>
      <c r="F242" s="1"/>
      <c r="R242" s="1"/>
      <c r="S242" s="14" t="str">
        <f t="shared" si="10"/>
        <v/>
      </c>
      <c r="T242" t="str">
        <f t="shared" si="9"/>
        <v/>
      </c>
    </row>
    <row r="243" spans="1:20" x14ac:dyDescent="0.25">
      <c r="A243" s="1">
        <v>46232</v>
      </c>
      <c r="B243" t="s">
        <v>123</v>
      </c>
      <c r="C243" s="16">
        <v>1.2500000000000001E-2</v>
      </c>
      <c r="D243" s="2"/>
      <c r="F243" s="1"/>
      <c r="R243" s="1"/>
      <c r="S243" s="14" t="str">
        <f t="shared" si="10"/>
        <v/>
      </c>
      <c r="T243" t="str">
        <f t="shared" si="9"/>
        <v/>
      </c>
    </row>
    <row r="244" spans="1:20" x14ac:dyDescent="0.25">
      <c r="A244" s="1">
        <v>46232</v>
      </c>
      <c r="B244" t="s">
        <v>124</v>
      </c>
      <c r="C244" s="16">
        <v>1.2500000000000001E-2</v>
      </c>
      <c r="D244" s="2"/>
      <c r="F244" s="1"/>
      <c r="R244" s="1"/>
      <c r="S244" s="14" t="str">
        <f t="shared" si="10"/>
        <v/>
      </c>
      <c r="T244" t="str">
        <f t="shared" si="9"/>
        <v/>
      </c>
    </row>
    <row r="245" spans="1:20" x14ac:dyDescent="0.25">
      <c r="A245" s="1">
        <v>46232</v>
      </c>
      <c r="B245" t="s">
        <v>125</v>
      </c>
      <c r="C245" s="16">
        <v>1.2500000000000001E-2</v>
      </c>
      <c r="D245" s="2"/>
      <c r="F245" s="1"/>
      <c r="R245" s="1"/>
      <c r="S245" s="14" t="str">
        <f t="shared" si="10"/>
        <v/>
      </c>
      <c r="T245" t="str">
        <f t="shared" ref="T245:T307" si="11">IF(S245="","",IF(S245=1,"Portfolio weights sum to 100%", "Portfolio weights do not sum to 100%."))</f>
        <v/>
      </c>
    </row>
    <row r="246" spans="1:20" x14ac:dyDescent="0.25">
      <c r="A246" s="1">
        <v>46232</v>
      </c>
      <c r="B246" t="s">
        <v>85</v>
      </c>
      <c r="C246" s="16">
        <v>1.2500000000000001E-2</v>
      </c>
      <c r="D246" s="2"/>
      <c r="F246" s="1"/>
      <c r="R246" s="1"/>
      <c r="S246" s="14" t="str">
        <f t="shared" si="10"/>
        <v/>
      </c>
      <c r="T246" t="str">
        <f t="shared" si="11"/>
        <v/>
      </c>
    </row>
    <row r="247" spans="1:20" x14ac:dyDescent="0.25">
      <c r="A247" s="1">
        <v>46232</v>
      </c>
      <c r="B247" t="s">
        <v>126</v>
      </c>
      <c r="C247" s="16">
        <v>1.2500000000000001E-2</v>
      </c>
      <c r="D247" s="2"/>
      <c r="F247" s="1"/>
      <c r="R247" s="1"/>
      <c r="S247" s="14" t="str">
        <f t="shared" si="10"/>
        <v/>
      </c>
      <c r="T247" t="str">
        <f t="shared" si="11"/>
        <v/>
      </c>
    </row>
    <row r="248" spans="1:20" x14ac:dyDescent="0.25">
      <c r="A248" s="1">
        <v>46232</v>
      </c>
      <c r="B248" t="s">
        <v>127</v>
      </c>
      <c r="C248" s="16">
        <v>1.2500000000000001E-2</v>
      </c>
      <c r="D248" s="2"/>
      <c r="F248" s="1"/>
      <c r="R248" s="1"/>
      <c r="S248" s="14" t="str">
        <f t="shared" si="10"/>
        <v/>
      </c>
      <c r="T248" t="str">
        <f t="shared" si="11"/>
        <v/>
      </c>
    </row>
    <row r="249" spans="1:20" x14ac:dyDescent="0.25">
      <c r="A249" s="1">
        <v>46232</v>
      </c>
      <c r="B249" t="s">
        <v>128</v>
      </c>
      <c r="C249" s="16">
        <v>1.2500000000000001E-2</v>
      </c>
      <c r="D249" s="2"/>
      <c r="F249" s="1"/>
      <c r="R249" s="1"/>
      <c r="S249" s="14" t="str">
        <f t="shared" si="10"/>
        <v/>
      </c>
      <c r="T249" t="str">
        <f t="shared" si="11"/>
        <v/>
      </c>
    </row>
    <row r="250" spans="1:20" x14ac:dyDescent="0.25">
      <c r="A250" s="1">
        <v>46232</v>
      </c>
      <c r="B250" t="s">
        <v>81</v>
      </c>
      <c r="C250" s="16">
        <v>1.2500000000000001E-2</v>
      </c>
      <c r="D250" s="2"/>
      <c r="F250" s="1"/>
      <c r="R250" s="1"/>
      <c r="S250" s="14" t="str">
        <f t="shared" si="10"/>
        <v/>
      </c>
      <c r="T250" t="str">
        <f t="shared" si="11"/>
        <v/>
      </c>
    </row>
    <row r="251" spans="1:20" x14ac:dyDescent="0.25">
      <c r="A251" s="1">
        <v>46232</v>
      </c>
      <c r="B251" t="s">
        <v>129</v>
      </c>
      <c r="C251" s="16">
        <v>1.2500000000000001E-2</v>
      </c>
      <c r="F251" s="1"/>
      <c r="R251" s="1"/>
      <c r="S251" s="14" t="str">
        <f t="shared" si="10"/>
        <v/>
      </c>
      <c r="T251" t="str">
        <f t="shared" si="11"/>
        <v/>
      </c>
    </row>
    <row r="252" spans="1:20" x14ac:dyDescent="0.25">
      <c r="A252" s="1">
        <v>46232</v>
      </c>
      <c r="B252" t="s">
        <v>130</v>
      </c>
      <c r="C252" s="16">
        <v>1.2500000000000001E-2</v>
      </c>
      <c r="D252" s="2"/>
      <c r="F252" s="1"/>
      <c r="R252" s="1"/>
      <c r="S252" s="14" t="str">
        <f t="shared" si="10"/>
        <v/>
      </c>
      <c r="T252" t="str">
        <f t="shared" si="11"/>
        <v/>
      </c>
    </row>
    <row r="253" spans="1:20" x14ac:dyDescent="0.25">
      <c r="A253" s="1">
        <v>46232</v>
      </c>
      <c r="B253" t="s">
        <v>87</v>
      </c>
      <c r="C253" s="16">
        <v>1.2500000000000001E-2</v>
      </c>
      <c r="D253" s="2"/>
      <c r="F253" s="1"/>
      <c r="R253" s="1"/>
      <c r="S253" s="14" t="str">
        <f t="shared" si="10"/>
        <v/>
      </c>
      <c r="T253" t="str">
        <f t="shared" si="11"/>
        <v/>
      </c>
    </row>
    <row r="254" spans="1:20" x14ac:dyDescent="0.25">
      <c r="A254" s="1">
        <v>46232</v>
      </c>
      <c r="B254" t="s">
        <v>132</v>
      </c>
      <c r="C254" s="16">
        <v>1.2500000000000001E-2</v>
      </c>
      <c r="D254" s="2"/>
      <c r="F254" s="1"/>
      <c r="R254" s="1"/>
      <c r="S254" s="14" t="str">
        <f t="shared" si="10"/>
        <v/>
      </c>
      <c r="T254" t="str">
        <f t="shared" si="11"/>
        <v/>
      </c>
    </row>
    <row r="255" spans="1:20" x14ac:dyDescent="0.25">
      <c r="A255" s="1">
        <v>46232</v>
      </c>
      <c r="B255" t="s">
        <v>133</v>
      </c>
      <c r="C255" s="16">
        <v>0.01</v>
      </c>
      <c r="D255" s="2"/>
      <c r="F255" s="1"/>
      <c r="R255" s="1"/>
      <c r="S255" s="14" t="str">
        <f t="shared" si="10"/>
        <v/>
      </c>
      <c r="T255" t="str">
        <f t="shared" si="11"/>
        <v/>
      </c>
    </row>
    <row r="256" spans="1:20" x14ac:dyDescent="0.25">
      <c r="A256" s="1">
        <v>46232</v>
      </c>
      <c r="B256" t="s">
        <v>134</v>
      </c>
      <c r="C256" s="16">
        <v>0.01</v>
      </c>
      <c r="D256" s="2"/>
      <c r="F256" s="1"/>
      <c r="R256" s="1"/>
      <c r="S256" s="14" t="str">
        <f t="shared" si="10"/>
        <v/>
      </c>
      <c r="T256" t="str">
        <f t="shared" si="11"/>
        <v/>
      </c>
    </row>
    <row r="257" spans="1:20" x14ac:dyDescent="0.25">
      <c r="A257" s="1">
        <v>46232</v>
      </c>
      <c r="B257" t="s">
        <v>135</v>
      </c>
      <c r="C257" s="16">
        <v>0.01</v>
      </c>
      <c r="D257" s="2"/>
      <c r="F257" s="1"/>
      <c r="R257" s="1"/>
      <c r="S257" s="14" t="str">
        <f t="shared" si="10"/>
        <v/>
      </c>
      <c r="T257" t="str">
        <f t="shared" si="11"/>
        <v/>
      </c>
    </row>
    <row r="258" spans="1:20" x14ac:dyDescent="0.25">
      <c r="A258" s="1">
        <v>46232</v>
      </c>
      <c r="B258" t="s">
        <v>136</v>
      </c>
      <c r="C258" s="16">
        <v>0.01</v>
      </c>
      <c r="D258" s="2"/>
      <c r="F258" s="1"/>
      <c r="R258" s="1"/>
      <c r="S258" s="14" t="str">
        <f t="shared" si="10"/>
        <v/>
      </c>
      <c r="T258" t="str">
        <f t="shared" si="11"/>
        <v/>
      </c>
    </row>
    <row r="259" spans="1:20" x14ac:dyDescent="0.25">
      <c r="A259" s="1"/>
      <c r="C259" s="16"/>
      <c r="D259" s="2"/>
      <c r="F259" s="1"/>
      <c r="R259" s="1"/>
      <c r="S259" s="14" t="str">
        <f t="shared" si="10"/>
        <v/>
      </c>
      <c r="T259" t="str">
        <f t="shared" si="11"/>
        <v/>
      </c>
    </row>
    <row r="260" spans="1:20" x14ac:dyDescent="0.25">
      <c r="A260" s="1"/>
      <c r="C260" s="16"/>
      <c r="F260" s="1"/>
      <c r="R260" s="1"/>
      <c r="S260" s="14" t="str">
        <f t="shared" si="10"/>
        <v/>
      </c>
      <c r="T260" t="str">
        <f t="shared" si="11"/>
        <v/>
      </c>
    </row>
    <row r="261" spans="1:20" x14ac:dyDescent="0.25">
      <c r="A261" s="1"/>
      <c r="C261" s="16"/>
      <c r="D261" s="2"/>
      <c r="F261" s="1"/>
      <c r="R261" s="1"/>
      <c r="S261" s="14" t="str">
        <f t="shared" si="10"/>
        <v/>
      </c>
      <c r="T261" t="str">
        <f t="shared" si="11"/>
        <v/>
      </c>
    </row>
    <row r="262" spans="1:20" x14ac:dyDescent="0.25">
      <c r="A262" s="1"/>
      <c r="C262" s="16"/>
      <c r="D262" s="2"/>
      <c r="F262" s="1"/>
      <c r="R262" s="1"/>
      <c r="S262" s="14" t="str">
        <f t="shared" si="10"/>
        <v/>
      </c>
      <c r="T262" t="str">
        <f t="shared" si="11"/>
        <v/>
      </c>
    </row>
    <row r="263" spans="1:20" x14ac:dyDescent="0.25">
      <c r="A263" s="1"/>
      <c r="C263" s="16"/>
      <c r="D263" s="2"/>
      <c r="F263" s="1"/>
      <c r="R263" s="1"/>
      <c r="S263" s="14" t="str">
        <f t="shared" si="10"/>
        <v/>
      </c>
      <c r="T263" t="str">
        <f t="shared" si="11"/>
        <v/>
      </c>
    </row>
    <row r="264" spans="1:20" x14ac:dyDescent="0.25">
      <c r="A264" s="1"/>
      <c r="C264" s="16"/>
      <c r="D264" s="2"/>
      <c r="F264" s="1"/>
      <c r="R264" s="1"/>
      <c r="S264" s="14" t="str">
        <f t="shared" si="10"/>
        <v/>
      </c>
      <c r="T264" t="str">
        <f t="shared" si="11"/>
        <v/>
      </c>
    </row>
    <row r="265" spans="1:20" x14ac:dyDescent="0.25">
      <c r="A265" s="1"/>
      <c r="C265" s="16"/>
      <c r="D265" s="2"/>
      <c r="F265" s="1"/>
      <c r="R265" s="1"/>
      <c r="S265" s="14" t="str">
        <f t="shared" si="10"/>
        <v/>
      </c>
      <c r="T265" t="str">
        <f t="shared" si="11"/>
        <v/>
      </c>
    </row>
    <row r="266" spans="1:20" x14ac:dyDescent="0.25">
      <c r="A266" s="1"/>
      <c r="C266" s="16"/>
      <c r="D266" s="2"/>
      <c r="F266" s="1"/>
      <c r="R266" s="1"/>
      <c r="S266" s="14" t="str">
        <f t="shared" si="10"/>
        <v/>
      </c>
      <c r="T266" t="str">
        <f t="shared" si="11"/>
        <v/>
      </c>
    </row>
    <row r="267" spans="1:20" x14ac:dyDescent="0.25">
      <c r="A267" s="1"/>
      <c r="C267" s="16"/>
      <c r="D267" s="2"/>
      <c r="F267" s="1"/>
      <c r="R267" s="1"/>
      <c r="S267" s="14" t="str">
        <f t="shared" si="10"/>
        <v/>
      </c>
      <c r="T267" t="str">
        <f t="shared" si="11"/>
        <v/>
      </c>
    </row>
    <row r="268" spans="1:20" x14ac:dyDescent="0.25">
      <c r="A268" s="1"/>
      <c r="C268" s="16"/>
      <c r="D268" s="2"/>
      <c r="F268" s="1"/>
      <c r="R268" s="1"/>
      <c r="S268" s="14" t="str">
        <f t="shared" si="10"/>
        <v/>
      </c>
      <c r="T268" t="str">
        <f t="shared" si="11"/>
        <v/>
      </c>
    </row>
    <row r="269" spans="1:20" x14ac:dyDescent="0.25">
      <c r="A269" s="1"/>
      <c r="C269" s="16"/>
      <c r="D269" s="2"/>
      <c r="F269" s="1"/>
      <c r="R269" s="1"/>
      <c r="S269" s="14" t="str">
        <f t="shared" si="10"/>
        <v/>
      </c>
      <c r="T269" t="str">
        <f t="shared" si="11"/>
        <v/>
      </c>
    </row>
    <row r="270" spans="1:20" x14ac:dyDescent="0.25">
      <c r="A270" s="1"/>
      <c r="C270" s="16"/>
      <c r="F270" s="1"/>
      <c r="R270" s="1"/>
      <c r="S270" s="14" t="str">
        <f t="shared" si="10"/>
        <v/>
      </c>
      <c r="T270" t="str">
        <f t="shared" si="11"/>
        <v/>
      </c>
    </row>
    <row r="271" spans="1:20" x14ac:dyDescent="0.25">
      <c r="A271" s="1"/>
      <c r="C271" s="16"/>
      <c r="D271" s="2"/>
      <c r="F271" s="1"/>
      <c r="R271" s="1"/>
      <c r="S271" s="14" t="str">
        <f t="shared" si="10"/>
        <v/>
      </c>
      <c r="T271" t="str">
        <f t="shared" si="11"/>
        <v/>
      </c>
    </row>
    <row r="272" spans="1:20" x14ac:dyDescent="0.25">
      <c r="A272" s="1"/>
      <c r="C272" s="16"/>
      <c r="D272" s="2"/>
      <c r="F272" s="1"/>
      <c r="R272" s="1"/>
      <c r="S272" s="14" t="str">
        <f t="shared" si="10"/>
        <v/>
      </c>
      <c r="T272" t="str">
        <f t="shared" si="11"/>
        <v/>
      </c>
    </row>
    <row r="273" spans="1:20" x14ac:dyDescent="0.25">
      <c r="A273" s="1"/>
      <c r="C273" s="16"/>
      <c r="D273" s="2"/>
      <c r="F273" s="1"/>
      <c r="R273" s="1"/>
      <c r="S273" s="14" t="str">
        <f t="shared" si="10"/>
        <v/>
      </c>
      <c r="T273" t="str">
        <f t="shared" si="11"/>
        <v/>
      </c>
    </row>
    <row r="274" spans="1:20" x14ac:dyDescent="0.25">
      <c r="A274" s="1"/>
      <c r="C274" s="16"/>
      <c r="D274" s="2"/>
      <c r="F274" s="1"/>
      <c r="R274" s="1"/>
      <c r="S274" s="14" t="str">
        <f t="shared" si="10"/>
        <v/>
      </c>
      <c r="T274" t="str">
        <f t="shared" si="11"/>
        <v/>
      </c>
    </row>
    <row r="275" spans="1:20" x14ac:dyDescent="0.25">
      <c r="A275" s="1"/>
      <c r="C275" s="16"/>
      <c r="D275" s="2"/>
      <c r="F275" s="1"/>
      <c r="R275" s="1"/>
      <c r="S275" s="14" t="str">
        <f t="shared" si="10"/>
        <v/>
      </c>
      <c r="T275" t="str">
        <f t="shared" si="11"/>
        <v/>
      </c>
    </row>
    <row r="276" spans="1:20" x14ac:dyDescent="0.25">
      <c r="A276" s="1"/>
      <c r="C276" s="16"/>
      <c r="D276" s="2"/>
      <c r="F276" s="1"/>
      <c r="R276" s="1"/>
      <c r="S276" s="14" t="str">
        <f t="shared" si="10"/>
        <v/>
      </c>
      <c r="T276" t="str">
        <f t="shared" si="11"/>
        <v/>
      </c>
    </row>
    <row r="277" spans="1:20" x14ac:dyDescent="0.25">
      <c r="A277" s="1"/>
      <c r="C277" s="16"/>
      <c r="D277" s="2"/>
      <c r="F277" s="1"/>
      <c r="R277" s="1"/>
      <c r="S277" s="14" t="str">
        <f t="shared" si="10"/>
        <v/>
      </c>
      <c r="T277" t="str">
        <f t="shared" si="11"/>
        <v/>
      </c>
    </row>
    <row r="278" spans="1:20" x14ac:dyDescent="0.25">
      <c r="A278" s="1"/>
      <c r="C278" s="16"/>
      <c r="D278" s="2"/>
      <c r="F278" s="1"/>
      <c r="R278" s="1"/>
      <c r="S278" s="14" t="str">
        <f t="shared" si="10"/>
        <v/>
      </c>
      <c r="T278" t="str">
        <f t="shared" si="11"/>
        <v/>
      </c>
    </row>
    <row r="279" spans="1:20" x14ac:dyDescent="0.25">
      <c r="A279" s="1"/>
      <c r="C279" s="16"/>
      <c r="D279" s="2"/>
      <c r="F279" s="1"/>
      <c r="R279" s="1"/>
      <c r="S279" s="14" t="str">
        <f t="shared" si="10"/>
        <v/>
      </c>
      <c r="T279" t="str">
        <f t="shared" si="11"/>
        <v/>
      </c>
    </row>
    <row r="280" spans="1:20" x14ac:dyDescent="0.25">
      <c r="A280" s="1"/>
      <c r="C280" s="16"/>
      <c r="F280" s="1"/>
      <c r="R280" s="1"/>
      <c r="S280" s="14" t="str">
        <f t="shared" si="10"/>
        <v/>
      </c>
      <c r="T280" t="str">
        <f t="shared" si="11"/>
        <v/>
      </c>
    </row>
    <row r="281" spans="1:20" x14ac:dyDescent="0.25">
      <c r="A281" s="1"/>
      <c r="C281" s="16"/>
      <c r="D281" s="2"/>
      <c r="F281" s="1"/>
      <c r="R281" s="1"/>
      <c r="S281" s="14" t="str">
        <f t="shared" si="10"/>
        <v/>
      </c>
      <c r="T281" t="str">
        <f t="shared" si="11"/>
        <v/>
      </c>
    </row>
    <row r="282" spans="1:20" x14ac:dyDescent="0.25">
      <c r="A282" s="1"/>
      <c r="C282" s="16"/>
      <c r="D282" s="2"/>
      <c r="F282" s="1"/>
      <c r="R282" s="1"/>
      <c r="S282" s="14" t="str">
        <f t="shared" ref="S282:S345" si="12">IF(R282="","",SUMIF(A:A,R282,C:C))</f>
        <v/>
      </c>
      <c r="T282" t="str">
        <f t="shared" si="11"/>
        <v/>
      </c>
    </row>
    <row r="283" spans="1:20" x14ac:dyDescent="0.25">
      <c r="A283" s="1"/>
      <c r="C283" s="16"/>
      <c r="D283" s="2"/>
      <c r="F283" s="1"/>
      <c r="R283" s="1"/>
      <c r="S283" s="14" t="str">
        <f t="shared" si="12"/>
        <v/>
      </c>
      <c r="T283" t="str">
        <f t="shared" si="11"/>
        <v/>
      </c>
    </row>
    <row r="284" spans="1:20" x14ac:dyDescent="0.25">
      <c r="A284" s="1"/>
      <c r="C284" s="16"/>
      <c r="D284" s="2"/>
      <c r="F284" s="1"/>
      <c r="R284" s="1"/>
      <c r="S284" s="14" t="str">
        <f t="shared" si="12"/>
        <v/>
      </c>
      <c r="T284" t="str">
        <f t="shared" si="11"/>
        <v/>
      </c>
    </row>
    <row r="285" spans="1:20" x14ac:dyDescent="0.25">
      <c r="A285" s="1"/>
      <c r="C285" s="16"/>
      <c r="D285" s="2"/>
      <c r="F285" s="1"/>
      <c r="R285" s="1"/>
      <c r="S285" s="14" t="str">
        <f t="shared" si="12"/>
        <v/>
      </c>
      <c r="T285" t="str">
        <f t="shared" si="11"/>
        <v/>
      </c>
    </row>
    <row r="286" spans="1:20" x14ac:dyDescent="0.25">
      <c r="A286" s="1"/>
      <c r="C286" s="16"/>
      <c r="D286" s="2"/>
      <c r="F286" s="1"/>
      <c r="R286" s="1"/>
      <c r="S286" s="14" t="str">
        <f t="shared" si="12"/>
        <v/>
      </c>
      <c r="T286" t="str">
        <f t="shared" si="11"/>
        <v/>
      </c>
    </row>
    <row r="287" spans="1:20" x14ac:dyDescent="0.25">
      <c r="A287" s="1"/>
      <c r="C287" s="16"/>
      <c r="D287" s="2"/>
      <c r="F287" s="1"/>
      <c r="R287" s="1"/>
      <c r="S287" s="14" t="str">
        <f t="shared" si="12"/>
        <v/>
      </c>
      <c r="T287" t="str">
        <f t="shared" si="11"/>
        <v/>
      </c>
    </row>
    <row r="288" spans="1:20" x14ac:dyDescent="0.25">
      <c r="A288" s="1"/>
      <c r="C288" s="16"/>
      <c r="D288" s="2"/>
      <c r="F288" s="1"/>
      <c r="R288" s="1"/>
      <c r="S288" s="14" t="str">
        <f t="shared" si="12"/>
        <v/>
      </c>
      <c r="T288" t="str">
        <f t="shared" si="11"/>
        <v/>
      </c>
    </row>
    <row r="289" spans="1:20" x14ac:dyDescent="0.25">
      <c r="A289" s="1"/>
      <c r="C289" s="16"/>
      <c r="D289" s="2"/>
      <c r="F289" s="1"/>
      <c r="R289" s="1"/>
      <c r="S289" s="14" t="str">
        <f t="shared" si="12"/>
        <v/>
      </c>
      <c r="T289" t="str">
        <f t="shared" si="11"/>
        <v/>
      </c>
    </row>
    <row r="290" spans="1:20" x14ac:dyDescent="0.25">
      <c r="A290" s="1"/>
      <c r="C290" s="16"/>
      <c r="F290" s="1"/>
      <c r="R290" s="1"/>
      <c r="S290" s="14" t="str">
        <f t="shared" si="12"/>
        <v/>
      </c>
      <c r="T290" t="str">
        <f t="shared" si="11"/>
        <v/>
      </c>
    </row>
    <row r="291" spans="1:20" x14ac:dyDescent="0.25">
      <c r="A291" s="1"/>
      <c r="C291" s="16"/>
      <c r="D291" s="2"/>
      <c r="F291" s="1"/>
      <c r="R291" s="1"/>
      <c r="S291" s="14" t="str">
        <f t="shared" si="12"/>
        <v/>
      </c>
      <c r="T291" t="str">
        <f t="shared" si="11"/>
        <v/>
      </c>
    </row>
    <row r="292" spans="1:20" x14ac:dyDescent="0.25">
      <c r="A292" s="1"/>
      <c r="C292" s="16"/>
      <c r="D292" s="2"/>
      <c r="F292" s="1"/>
      <c r="R292" s="1"/>
      <c r="S292" s="14" t="str">
        <f t="shared" si="12"/>
        <v/>
      </c>
      <c r="T292" t="str">
        <f t="shared" si="11"/>
        <v/>
      </c>
    </row>
    <row r="293" spans="1:20" x14ac:dyDescent="0.25">
      <c r="A293" s="1"/>
      <c r="C293" s="16"/>
      <c r="D293" s="2"/>
      <c r="F293" s="1"/>
      <c r="R293" s="1"/>
      <c r="S293" s="14" t="str">
        <f t="shared" si="12"/>
        <v/>
      </c>
      <c r="T293" t="str">
        <f t="shared" si="11"/>
        <v/>
      </c>
    </row>
    <row r="294" spans="1:20" x14ac:dyDescent="0.25">
      <c r="A294" s="1"/>
      <c r="C294" s="16"/>
      <c r="D294" s="2"/>
      <c r="F294" s="1"/>
      <c r="R294" s="1"/>
      <c r="S294" s="14" t="str">
        <f t="shared" si="12"/>
        <v/>
      </c>
      <c r="T294" t="str">
        <f t="shared" si="11"/>
        <v/>
      </c>
    </row>
    <row r="295" spans="1:20" x14ac:dyDescent="0.25">
      <c r="A295" s="1"/>
      <c r="C295" s="16"/>
      <c r="D295" s="2"/>
      <c r="F295" s="1"/>
      <c r="R295" s="1"/>
      <c r="S295" s="14" t="str">
        <f t="shared" si="12"/>
        <v/>
      </c>
      <c r="T295" t="str">
        <f t="shared" si="11"/>
        <v/>
      </c>
    </row>
    <row r="296" spans="1:20" x14ac:dyDescent="0.25">
      <c r="A296" s="1"/>
      <c r="C296" s="16"/>
      <c r="D296" s="2"/>
      <c r="F296" s="1"/>
      <c r="R296" s="1"/>
      <c r="S296" s="14" t="str">
        <f t="shared" si="12"/>
        <v/>
      </c>
      <c r="T296" t="str">
        <f t="shared" si="11"/>
        <v/>
      </c>
    </row>
    <row r="297" spans="1:20" x14ac:dyDescent="0.25">
      <c r="A297" s="1"/>
      <c r="C297" s="16"/>
      <c r="D297" s="2"/>
      <c r="F297" s="1"/>
      <c r="R297" s="1"/>
      <c r="S297" s="14" t="str">
        <f t="shared" si="12"/>
        <v/>
      </c>
      <c r="T297" t="str">
        <f t="shared" si="11"/>
        <v/>
      </c>
    </row>
    <row r="298" spans="1:20" x14ac:dyDescent="0.25">
      <c r="A298" s="1"/>
      <c r="C298" s="16"/>
      <c r="D298" s="2"/>
      <c r="F298" s="1"/>
      <c r="R298" s="1"/>
      <c r="S298" s="14" t="str">
        <f t="shared" si="12"/>
        <v/>
      </c>
      <c r="T298" t="str">
        <f t="shared" si="11"/>
        <v/>
      </c>
    </row>
    <row r="299" spans="1:20" x14ac:dyDescent="0.25">
      <c r="A299" s="1"/>
      <c r="C299" s="16"/>
      <c r="D299" s="2"/>
      <c r="F299" s="1"/>
      <c r="R299" s="1"/>
      <c r="S299" s="14" t="str">
        <f t="shared" si="12"/>
        <v/>
      </c>
      <c r="T299" t="str">
        <f t="shared" si="11"/>
        <v/>
      </c>
    </row>
    <row r="300" spans="1:20" x14ac:dyDescent="0.25">
      <c r="A300" s="1"/>
      <c r="C300" s="16"/>
      <c r="F300" s="1"/>
      <c r="R300" s="1"/>
      <c r="S300" s="14" t="str">
        <f t="shared" si="12"/>
        <v/>
      </c>
      <c r="T300" t="str">
        <f t="shared" si="11"/>
        <v/>
      </c>
    </row>
    <row r="301" spans="1:20" x14ac:dyDescent="0.25">
      <c r="A301" s="1"/>
      <c r="C301" s="16"/>
      <c r="D301" s="2"/>
      <c r="F301" s="1"/>
      <c r="R301" s="1"/>
      <c r="S301" s="14" t="str">
        <f t="shared" si="12"/>
        <v/>
      </c>
      <c r="T301" t="str">
        <f t="shared" si="11"/>
        <v/>
      </c>
    </row>
    <row r="302" spans="1:20" x14ac:dyDescent="0.25">
      <c r="A302" s="1"/>
      <c r="C302" s="16"/>
      <c r="D302" s="2"/>
      <c r="F302" s="1"/>
      <c r="R302" s="1"/>
      <c r="S302" s="14" t="str">
        <f t="shared" si="12"/>
        <v/>
      </c>
      <c r="T302" t="str">
        <f t="shared" si="11"/>
        <v/>
      </c>
    </row>
    <row r="303" spans="1:20" x14ac:dyDescent="0.25">
      <c r="A303" s="1"/>
      <c r="C303" s="16"/>
      <c r="D303" s="2"/>
      <c r="F303" s="1"/>
      <c r="R303" s="1"/>
      <c r="S303" s="14" t="str">
        <f t="shared" si="12"/>
        <v/>
      </c>
      <c r="T303" t="str">
        <f t="shared" si="11"/>
        <v/>
      </c>
    </row>
    <row r="304" spans="1:20" x14ac:dyDescent="0.25">
      <c r="A304" s="1"/>
      <c r="C304" s="16"/>
      <c r="D304" s="2"/>
      <c r="F304" s="1"/>
      <c r="R304" s="1"/>
      <c r="S304" s="14" t="str">
        <f t="shared" si="12"/>
        <v/>
      </c>
      <c r="T304" t="str">
        <f t="shared" si="11"/>
        <v/>
      </c>
    </row>
    <row r="305" spans="1:20" x14ac:dyDescent="0.25">
      <c r="A305" s="1"/>
      <c r="C305" s="16"/>
      <c r="D305" s="2"/>
      <c r="F305" s="1"/>
      <c r="R305" s="1"/>
      <c r="S305" s="14" t="str">
        <f t="shared" si="12"/>
        <v/>
      </c>
      <c r="T305" t="str">
        <f t="shared" si="11"/>
        <v/>
      </c>
    </row>
    <row r="306" spans="1:20" x14ac:dyDescent="0.25">
      <c r="A306" s="1"/>
      <c r="C306" s="16"/>
      <c r="D306" s="2"/>
      <c r="F306" s="1"/>
      <c r="R306" s="1"/>
      <c r="S306" s="14" t="str">
        <f t="shared" si="12"/>
        <v/>
      </c>
      <c r="T306" t="str">
        <f t="shared" si="11"/>
        <v/>
      </c>
    </row>
    <row r="307" spans="1:20" x14ac:dyDescent="0.25">
      <c r="A307" s="1"/>
      <c r="C307" s="16"/>
      <c r="D307" s="2"/>
      <c r="F307" s="1"/>
      <c r="R307" s="1"/>
      <c r="S307" s="14" t="str">
        <f t="shared" si="12"/>
        <v/>
      </c>
      <c r="T307" t="str">
        <f t="shared" si="11"/>
        <v/>
      </c>
    </row>
    <row r="308" spans="1:20" x14ac:dyDescent="0.25">
      <c r="A308" s="1"/>
      <c r="C308" s="16"/>
      <c r="D308" s="2"/>
      <c r="F308" s="1"/>
      <c r="R308" s="1"/>
      <c r="S308" s="14" t="str">
        <f t="shared" si="12"/>
        <v/>
      </c>
      <c r="T308" t="str">
        <f t="shared" ref="T308:T371" si="13">IF(S308="","",IF(S308=1,"Portfolio weights sum to 100%", "Portfolio weights do not sum to 100%."))</f>
        <v/>
      </c>
    </row>
    <row r="309" spans="1:20" x14ac:dyDescent="0.25">
      <c r="A309" s="1"/>
      <c r="C309" s="16"/>
      <c r="D309" s="2"/>
      <c r="F309" s="1"/>
      <c r="R309" s="1"/>
      <c r="S309" s="14" t="str">
        <f t="shared" si="12"/>
        <v/>
      </c>
      <c r="T309" t="str">
        <f t="shared" si="13"/>
        <v/>
      </c>
    </row>
    <row r="310" spans="1:20" x14ac:dyDescent="0.25">
      <c r="A310" s="1"/>
      <c r="C310" s="16"/>
      <c r="F310" s="1"/>
      <c r="R310" s="1"/>
      <c r="S310" s="14" t="str">
        <f t="shared" si="12"/>
        <v/>
      </c>
      <c r="T310" t="str">
        <f t="shared" si="13"/>
        <v/>
      </c>
    </row>
    <row r="311" spans="1:20" x14ac:dyDescent="0.25">
      <c r="A311" s="1"/>
      <c r="C311" s="16"/>
      <c r="D311" s="2"/>
      <c r="F311" s="1"/>
      <c r="R311" s="1"/>
      <c r="S311" s="14" t="str">
        <f t="shared" si="12"/>
        <v/>
      </c>
      <c r="T311" t="str">
        <f t="shared" si="13"/>
        <v/>
      </c>
    </row>
    <row r="312" spans="1:20" x14ac:dyDescent="0.25">
      <c r="A312" s="1"/>
      <c r="C312" s="16"/>
      <c r="D312" s="2"/>
      <c r="F312" s="1"/>
      <c r="R312" s="1"/>
      <c r="S312" s="14" t="str">
        <f t="shared" si="12"/>
        <v/>
      </c>
      <c r="T312" t="str">
        <f t="shared" si="13"/>
        <v/>
      </c>
    </row>
    <row r="313" spans="1:20" x14ac:dyDescent="0.25">
      <c r="A313" s="1"/>
      <c r="C313" s="16"/>
      <c r="D313" s="2"/>
      <c r="F313" s="1"/>
      <c r="R313" s="1"/>
      <c r="S313" s="14" t="str">
        <f t="shared" si="12"/>
        <v/>
      </c>
      <c r="T313" t="str">
        <f t="shared" si="13"/>
        <v/>
      </c>
    </row>
    <row r="314" spans="1:20" x14ac:dyDescent="0.25">
      <c r="A314" s="1"/>
      <c r="C314" s="16"/>
      <c r="D314" s="2"/>
      <c r="F314" s="1"/>
      <c r="R314" s="1"/>
      <c r="S314" s="14" t="str">
        <f t="shared" si="12"/>
        <v/>
      </c>
      <c r="T314" t="str">
        <f t="shared" si="13"/>
        <v/>
      </c>
    </row>
    <row r="315" spans="1:20" x14ac:dyDescent="0.25">
      <c r="A315" s="1"/>
      <c r="C315" s="16"/>
      <c r="D315" s="2"/>
      <c r="F315" s="1"/>
      <c r="R315" s="1"/>
      <c r="S315" s="14" t="str">
        <f t="shared" si="12"/>
        <v/>
      </c>
      <c r="T315" t="str">
        <f t="shared" si="13"/>
        <v/>
      </c>
    </row>
    <row r="316" spans="1:20" x14ac:dyDescent="0.25">
      <c r="A316" s="1"/>
      <c r="C316" s="16"/>
      <c r="D316" s="2"/>
      <c r="F316" s="1"/>
      <c r="R316" s="1"/>
      <c r="S316" s="14" t="str">
        <f t="shared" si="12"/>
        <v/>
      </c>
      <c r="T316" t="str">
        <f t="shared" si="13"/>
        <v/>
      </c>
    </row>
    <row r="317" spans="1:20" x14ac:dyDescent="0.25">
      <c r="A317" s="1"/>
      <c r="C317" s="16"/>
      <c r="D317" s="2"/>
      <c r="F317" s="1"/>
      <c r="R317" s="1"/>
      <c r="S317" s="14" t="str">
        <f t="shared" si="12"/>
        <v/>
      </c>
      <c r="T317" t="str">
        <f t="shared" si="13"/>
        <v/>
      </c>
    </row>
    <row r="318" spans="1:20" x14ac:dyDescent="0.25">
      <c r="A318" s="1"/>
      <c r="C318" s="16"/>
      <c r="D318" s="2"/>
      <c r="F318" s="1"/>
      <c r="R318" s="1"/>
      <c r="S318" s="14" t="str">
        <f t="shared" si="12"/>
        <v/>
      </c>
      <c r="T318" t="str">
        <f t="shared" si="13"/>
        <v/>
      </c>
    </row>
    <row r="319" spans="1:20" x14ac:dyDescent="0.25">
      <c r="A319" s="1"/>
      <c r="C319" s="16"/>
      <c r="D319" s="2"/>
      <c r="F319" s="1"/>
      <c r="R319" s="1"/>
      <c r="S319" s="14" t="str">
        <f t="shared" si="12"/>
        <v/>
      </c>
      <c r="T319" t="str">
        <f t="shared" si="13"/>
        <v/>
      </c>
    </row>
    <row r="320" spans="1:20" x14ac:dyDescent="0.25">
      <c r="A320" s="1"/>
      <c r="C320" s="16"/>
      <c r="F320" s="1"/>
      <c r="R320" s="1"/>
      <c r="S320" s="14" t="str">
        <f t="shared" si="12"/>
        <v/>
      </c>
      <c r="T320" t="str">
        <f t="shared" si="13"/>
        <v/>
      </c>
    </row>
    <row r="321" spans="1:20" x14ac:dyDescent="0.25">
      <c r="A321" s="1"/>
      <c r="C321" s="16"/>
      <c r="D321" s="2"/>
      <c r="F321" s="1"/>
      <c r="R321" s="1"/>
      <c r="S321" s="14" t="str">
        <f t="shared" si="12"/>
        <v/>
      </c>
      <c r="T321" t="str">
        <f t="shared" si="13"/>
        <v/>
      </c>
    </row>
    <row r="322" spans="1:20" x14ac:dyDescent="0.25">
      <c r="A322" s="1"/>
      <c r="C322" s="16"/>
      <c r="D322" s="2"/>
      <c r="F322" s="1"/>
      <c r="R322" s="1"/>
      <c r="S322" s="14" t="str">
        <f t="shared" si="12"/>
        <v/>
      </c>
      <c r="T322" t="str">
        <f t="shared" si="13"/>
        <v/>
      </c>
    </row>
    <row r="323" spans="1:20" x14ac:dyDescent="0.25">
      <c r="A323" s="1"/>
      <c r="C323" s="16"/>
      <c r="D323" s="2"/>
      <c r="F323" s="1"/>
      <c r="R323" s="1"/>
      <c r="S323" s="14" t="str">
        <f t="shared" si="12"/>
        <v/>
      </c>
      <c r="T323" t="str">
        <f t="shared" si="13"/>
        <v/>
      </c>
    </row>
    <row r="324" spans="1:20" x14ac:dyDescent="0.25">
      <c r="A324" s="1"/>
      <c r="C324" s="16"/>
      <c r="D324" s="2"/>
      <c r="F324" s="1"/>
      <c r="R324" s="1"/>
      <c r="S324" s="14" t="str">
        <f t="shared" si="12"/>
        <v/>
      </c>
      <c r="T324" t="str">
        <f t="shared" si="13"/>
        <v/>
      </c>
    </row>
    <row r="325" spans="1:20" x14ac:dyDescent="0.25">
      <c r="A325" s="1"/>
      <c r="C325" s="16"/>
      <c r="D325" s="2"/>
      <c r="F325" s="1"/>
      <c r="R325" s="1"/>
      <c r="S325" s="14" t="str">
        <f t="shared" si="12"/>
        <v/>
      </c>
      <c r="T325" t="str">
        <f t="shared" si="13"/>
        <v/>
      </c>
    </row>
    <row r="326" spans="1:20" x14ac:dyDescent="0.25">
      <c r="A326" s="1"/>
      <c r="C326" s="16"/>
      <c r="D326" s="2"/>
      <c r="F326" s="1"/>
      <c r="R326" s="1"/>
      <c r="S326" s="14" t="str">
        <f t="shared" si="12"/>
        <v/>
      </c>
      <c r="T326" t="str">
        <f t="shared" si="13"/>
        <v/>
      </c>
    </row>
    <row r="327" spans="1:20" x14ac:dyDescent="0.25">
      <c r="A327" s="1"/>
      <c r="C327" s="16"/>
      <c r="D327" s="2"/>
      <c r="F327" s="1"/>
      <c r="R327" s="1"/>
      <c r="S327" s="14" t="str">
        <f t="shared" si="12"/>
        <v/>
      </c>
      <c r="T327" t="str">
        <f t="shared" si="13"/>
        <v/>
      </c>
    </row>
    <row r="328" spans="1:20" x14ac:dyDescent="0.25">
      <c r="A328" s="1"/>
      <c r="C328" s="16"/>
      <c r="D328" s="2"/>
      <c r="F328" s="1"/>
      <c r="R328" s="1"/>
      <c r="S328" s="14" t="str">
        <f t="shared" si="12"/>
        <v/>
      </c>
      <c r="T328" t="str">
        <f t="shared" si="13"/>
        <v/>
      </c>
    </row>
    <row r="329" spans="1:20" x14ac:dyDescent="0.25">
      <c r="A329" s="1"/>
      <c r="C329" s="16"/>
      <c r="D329" s="2"/>
      <c r="F329" s="1"/>
      <c r="R329" s="1"/>
      <c r="S329" s="14" t="str">
        <f t="shared" si="12"/>
        <v/>
      </c>
      <c r="T329" t="str">
        <f t="shared" si="13"/>
        <v/>
      </c>
    </row>
    <row r="330" spans="1:20" x14ac:dyDescent="0.25">
      <c r="A330" s="1"/>
      <c r="C330" s="16"/>
      <c r="F330" s="1"/>
      <c r="R330" s="1"/>
      <c r="S330" s="14" t="str">
        <f t="shared" si="12"/>
        <v/>
      </c>
      <c r="T330" t="str">
        <f t="shared" si="13"/>
        <v/>
      </c>
    </row>
    <row r="331" spans="1:20" x14ac:dyDescent="0.25">
      <c r="A331" s="1"/>
      <c r="C331" s="16"/>
      <c r="D331" s="2"/>
      <c r="F331" s="1"/>
      <c r="R331" s="1"/>
      <c r="S331" s="14" t="str">
        <f t="shared" si="12"/>
        <v/>
      </c>
      <c r="T331" t="str">
        <f t="shared" si="13"/>
        <v/>
      </c>
    </row>
    <row r="332" spans="1:20" x14ac:dyDescent="0.25">
      <c r="A332" s="1"/>
      <c r="C332" s="16"/>
      <c r="D332" s="2"/>
      <c r="F332" s="1"/>
      <c r="R332" s="1"/>
      <c r="S332" s="14" t="str">
        <f t="shared" si="12"/>
        <v/>
      </c>
      <c r="T332" t="str">
        <f t="shared" si="13"/>
        <v/>
      </c>
    </row>
    <row r="333" spans="1:20" x14ac:dyDescent="0.25">
      <c r="A333" s="1"/>
      <c r="C333" s="16"/>
      <c r="D333" s="2"/>
      <c r="F333" s="1"/>
      <c r="R333" s="1"/>
      <c r="S333" s="14" t="str">
        <f t="shared" si="12"/>
        <v/>
      </c>
      <c r="T333" t="str">
        <f t="shared" si="13"/>
        <v/>
      </c>
    </row>
    <row r="334" spans="1:20" x14ac:dyDescent="0.25">
      <c r="A334" s="1"/>
      <c r="C334" s="16"/>
      <c r="D334" s="2"/>
      <c r="F334" s="1"/>
      <c r="R334" s="1"/>
      <c r="S334" s="14" t="str">
        <f t="shared" si="12"/>
        <v/>
      </c>
      <c r="T334" t="str">
        <f t="shared" si="13"/>
        <v/>
      </c>
    </row>
    <row r="335" spans="1:20" x14ac:dyDescent="0.25">
      <c r="A335" s="1"/>
      <c r="C335" s="16"/>
      <c r="D335" s="2"/>
      <c r="F335" s="1"/>
      <c r="R335" s="1"/>
      <c r="S335" s="14" t="str">
        <f t="shared" si="12"/>
        <v/>
      </c>
      <c r="T335" t="str">
        <f t="shared" si="13"/>
        <v/>
      </c>
    </row>
    <row r="336" spans="1:20" x14ac:dyDescent="0.25">
      <c r="A336" s="1"/>
      <c r="C336" s="16"/>
      <c r="D336" s="2"/>
      <c r="F336" s="1"/>
      <c r="R336" s="1"/>
      <c r="S336" s="14" t="str">
        <f t="shared" si="12"/>
        <v/>
      </c>
      <c r="T336" t="str">
        <f t="shared" si="13"/>
        <v/>
      </c>
    </row>
    <row r="337" spans="1:20" x14ac:dyDescent="0.25">
      <c r="A337" s="1"/>
      <c r="C337" s="16"/>
      <c r="D337" s="2"/>
      <c r="F337" s="1"/>
      <c r="R337" s="1"/>
      <c r="S337" s="14" t="str">
        <f t="shared" si="12"/>
        <v/>
      </c>
      <c r="T337" t="str">
        <f t="shared" si="13"/>
        <v/>
      </c>
    </row>
    <row r="338" spans="1:20" x14ac:dyDescent="0.25">
      <c r="A338" s="1"/>
      <c r="C338" s="16"/>
      <c r="D338" s="2"/>
      <c r="F338" s="1"/>
      <c r="R338" s="1"/>
      <c r="S338" s="14" t="str">
        <f t="shared" si="12"/>
        <v/>
      </c>
      <c r="T338" t="str">
        <f t="shared" si="13"/>
        <v/>
      </c>
    </row>
    <row r="339" spans="1:20" x14ac:dyDescent="0.25">
      <c r="A339" s="1"/>
      <c r="C339" s="16"/>
      <c r="D339" s="2"/>
      <c r="F339" s="1"/>
      <c r="R339" s="1"/>
      <c r="S339" s="14" t="str">
        <f t="shared" si="12"/>
        <v/>
      </c>
      <c r="T339" t="str">
        <f t="shared" si="13"/>
        <v/>
      </c>
    </row>
    <row r="340" spans="1:20" x14ac:dyDescent="0.25">
      <c r="A340" s="1"/>
      <c r="C340" s="16"/>
      <c r="F340" s="1"/>
      <c r="R340" s="1"/>
      <c r="S340" s="14" t="str">
        <f t="shared" si="12"/>
        <v/>
      </c>
      <c r="T340" t="str">
        <f t="shared" si="13"/>
        <v/>
      </c>
    </row>
    <row r="341" spans="1:20" x14ac:dyDescent="0.25">
      <c r="A341" s="1"/>
      <c r="C341" s="16"/>
      <c r="D341" s="2"/>
      <c r="F341" s="1"/>
      <c r="R341" s="1"/>
      <c r="S341" s="14" t="str">
        <f t="shared" si="12"/>
        <v/>
      </c>
      <c r="T341" t="str">
        <f t="shared" si="13"/>
        <v/>
      </c>
    </row>
    <row r="342" spans="1:20" x14ac:dyDescent="0.25">
      <c r="A342" s="1"/>
      <c r="C342" s="16"/>
      <c r="D342" s="2"/>
      <c r="F342" s="1"/>
      <c r="R342" s="1"/>
      <c r="S342" s="14" t="str">
        <f t="shared" si="12"/>
        <v/>
      </c>
      <c r="T342" t="str">
        <f t="shared" si="13"/>
        <v/>
      </c>
    </row>
    <row r="343" spans="1:20" x14ac:dyDescent="0.25">
      <c r="A343" s="1"/>
      <c r="C343" s="16"/>
      <c r="D343" s="2"/>
      <c r="F343" s="1"/>
      <c r="R343" s="1"/>
      <c r="S343" s="14" t="str">
        <f t="shared" si="12"/>
        <v/>
      </c>
      <c r="T343" t="str">
        <f t="shared" si="13"/>
        <v/>
      </c>
    </row>
    <row r="344" spans="1:20" x14ac:dyDescent="0.25">
      <c r="A344" s="1"/>
      <c r="C344" s="16"/>
      <c r="D344" s="2"/>
      <c r="F344" s="1"/>
      <c r="R344" s="1"/>
      <c r="S344" s="14" t="str">
        <f t="shared" si="12"/>
        <v/>
      </c>
      <c r="T344" t="str">
        <f t="shared" si="13"/>
        <v/>
      </c>
    </row>
    <row r="345" spans="1:20" x14ac:dyDescent="0.25">
      <c r="A345" s="1"/>
      <c r="C345" s="16"/>
      <c r="D345" s="2"/>
      <c r="F345" s="1"/>
      <c r="R345" s="1"/>
      <c r="S345" s="14" t="str">
        <f t="shared" si="12"/>
        <v/>
      </c>
      <c r="T345" t="str">
        <f t="shared" si="13"/>
        <v/>
      </c>
    </row>
    <row r="346" spans="1:20" x14ac:dyDescent="0.25">
      <c r="A346" s="1"/>
      <c r="C346" s="16"/>
      <c r="D346" s="2"/>
      <c r="F346" s="1"/>
      <c r="R346" s="1"/>
      <c r="S346" s="14" t="str">
        <f t="shared" ref="S346:S409" si="14">IF(R346="","",SUMIF(A:A,R346,C:C))</f>
        <v/>
      </c>
      <c r="T346" t="str">
        <f t="shared" si="13"/>
        <v/>
      </c>
    </row>
    <row r="347" spans="1:20" x14ac:dyDescent="0.25">
      <c r="A347" s="1"/>
      <c r="C347" s="16"/>
      <c r="D347" s="2"/>
      <c r="F347" s="1"/>
      <c r="R347" s="1"/>
      <c r="S347" s="14" t="str">
        <f t="shared" si="14"/>
        <v/>
      </c>
      <c r="T347" t="str">
        <f t="shared" si="13"/>
        <v/>
      </c>
    </row>
    <row r="348" spans="1:20" x14ac:dyDescent="0.25">
      <c r="A348" s="1"/>
      <c r="C348" s="16"/>
      <c r="D348" s="2"/>
      <c r="F348" s="1"/>
      <c r="R348" s="1"/>
      <c r="S348" s="14" t="str">
        <f t="shared" si="14"/>
        <v/>
      </c>
      <c r="T348" t="str">
        <f t="shared" si="13"/>
        <v/>
      </c>
    </row>
    <row r="349" spans="1:20" x14ac:dyDescent="0.25">
      <c r="A349" s="1"/>
      <c r="C349" s="16"/>
      <c r="D349" s="2"/>
      <c r="F349" s="1"/>
      <c r="R349" s="1"/>
      <c r="S349" s="14" t="str">
        <f t="shared" si="14"/>
        <v/>
      </c>
      <c r="T349" t="str">
        <f t="shared" si="13"/>
        <v/>
      </c>
    </row>
    <row r="350" spans="1:20" x14ac:dyDescent="0.25">
      <c r="A350" s="1"/>
      <c r="C350" s="16"/>
      <c r="F350" s="1"/>
      <c r="R350" s="1"/>
      <c r="S350" s="14" t="str">
        <f t="shared" si="14"/>
        <v/>
      </c>
      <c r="T350" t="str">
        <f t="shared" si="13"/>
        <v/>
      </c>
    </row>
    <row r="351" spans="1:20" x14ac:dyDescent="0.25">
      <c r="A351" s="1"/>
      <c r="C351" s="16"/>
      <c r="D351" s="2"/>
      <c r="F351" s="1"/>
      <c r="R351" s="1"/>
      <c r="S351" s="14" t="str">
        <f t="shared" si="14"/>
        <v/>
      </c>
      <c r="T351" t="str">
        <f t="shared" si="13"/>
        <v/>
      </c>
    </row>
    <row r="352" spans="1:20" x14ac:dyDescent="0.25">
      <c r="A352" s="1"/>
      <c r="C352" s="16"/>
      <c r="D352" s="2"/>
      <c r="F352" s="1"/>
      <c r="R352" s="1"/>
      <c r="S352" s="14" t="str">
        <f t="shared" si="14"/>
        <v/>
      </c>
      <c r="T352" t="str">
        <f t="shared" si="13"/>
        <v/>
      </c>
    </row>
    <row r="353" spans="1:20" x14ac:dyDescent="0.25">
      <c r="A353" s="1"/>
      <c r="C353" s="16"/>
      <c r="D353" s="2"/>
      <c r="F353" s="1"/>
      <c r="R353" s="1"/>
      <c r="S353" s="14" t="str">
        <f t="shared" si="14"/>
        <v/>
      </c>
      <c r="T353" t="str">
        <f t="shared" si="13"/>
        <v/>
      </c>
    </row>
    <row r="354" spans="1:20" x14ac:dyDescent="0.25">
      <c r="A354" s="1"/>
      <c r="C354" s="16"/>
      <c r="D354" s="2"/>
      <c r="F354" s="1"/>
      <c r="R354" s="1"/>
      <c r="S354" s="14" t="str">
        <f t="shared" si="14"/>
        <v/>
      </c>
      <c r="T354" t="str">
        <f t="shared" si="13"/>
        <v/>
      </c>
    </row>
    <row r="355" spans="1:20" x14ac:dyDescent="0.25">
      <c r="A355" s="1"/>
      <c r="C355" s="16"/>
      <c r="D355" s="2"/>
      <c r="F355" s="1"/>
      <c r="R355" s="1"/>
      <c r="S355" s="14" t="str">
        <f t="shared" si="14"/>
        <v/>
      </c>
      <c r="T355" t="str">
        <f t="shared" si="13"/>
        <v/>
      </c>
    </row>
    <row r="356" spans="1:20" x14ac:dyDescent="0.25">
      <c r="A356" s="1"/>
      <c r="C356" s="16"/>
      <c r="D356" s="2"/>
      <c r="F356" s="1"/>
      <c r="R356" s="1"/>
      <c r="S356" s="14" t="str">
        <f t="shared" si="14"/>
        <v/>
      </c>
      <c r="T356" t="str">
        <f t="shared" si="13"/>
        <v/>
      </c>
    </row>
    <row r="357" spans="1:20" x14ac:dyDescent="0.25">
      <c r="A357" s="1"/>
      <c r="C357" s="16"/>
      <c r="D357" s="2"/>
      <c r="F357" s="1"/>
      <c r="R357" s="1"/>
      <c r="S357" s="14" t="str">
        <f t="shared" si="14"/>
        <v/>
      </c>
      <c r="T357" t="str">
        <f t="shared" si="13"/>
        <v/>
      </c>
    </row>
    <row r="358" spans="1:20" x14ac:dyDescent="0.25">
      <c r="A358" s="1"/>
      <c r="C358" s="16"/>
      <c r="D358" s="2"/>
      <c r="F358" s="1"/>
      <c r="R358" s="1"/>
      <c r="S358" s="14" t="str">
        <f t="shared" si="14"/>
        <v/>
      </c>
      <c r="T358" t="str">
        <f t="shared" si="13"/>
        <v/>
      </c>
    </row>
    <row r="359" spans="1:20" x14ac:dyDescent="0.25">
      <c r="A359" s="1"/>
      <c r="C359" s="16"/>
      <c r="D359" s="2"/>
      <c r="F359" s="1"/>
      <c r="R359" s="1"/>
      <c r="S359" s="14" t="str">
        <f t="shared" si="14"/>
        <v/>
      </c>
      <c r="T359" t="str">
        <f t="shared" si="13"/>
        <v/>
      </c>
    </row>
    <row r="360" spans="1:20" x14ac:dyDescent="0.25">
      <c r="A360" s="1"/>
      <c r="C360" s="16"/>
      <c r="F360" s="1"/>
      <c r="R360" s="1"/>
      <c r="S360" s="14" t="str">
        <f t="shared" si="14"/>
        <v/>
      </c>
      <c r="T360" t="str">
        <f t="shared" si="13"/>
        <v/>
      </c>
    </row>
    <row r="361" spans="1:20" x14ac:dyDescent="0.25">
      <c r="A361" s="1"/>
      <c r="C361" s="16"/>
      <c r="D361" s="2"/>
      <c r="F361" s="1"/>
      <c r="R361" s="1"/>
      <c r="S361" s="14" t="str">
        <f t="shared" si="14"/>
        <v/>
      </c>
      <c r="T361" t="str">
        <f t="shared" si="13"/>
        <v/>
      </c>
    </row>
    <row r="362" spans="1:20" x14ac:dyDescent="0.25">
      <c r="A362" s="1"/>
      <c r="C362" s="16"/>
      <c r="D362" s="2"/>
      <c r="F362" s="1"/>
      <c r="R362" s="1"/>
      <c r="S362" s="14" t="str">
        <f t="shared" si="14"/>
        <v/>
      </c>
      <c r="T362" t="str">
        <f t="shared" si="13"/>
        <v/>
      </c>
    </row>
    <row r="363" spans="1:20" x14ac:dyDescent="0.25">
      <c r="A363" s="1"/>
      <c r="C363" s="16"/>
      <c r="D363" s="2"/>
      <c r="F363" s="1"/>
      <c r="R363" s="1"/>
      <c r="S363" s="14" t="str">
        <f t="shared" si="14"/>
        <v/>
      </c>
      <c r="T363" t="str">
        <f t="shared" si="13"/>
        <v/>
      </c>
    </row>
    <row r="364" spans="1:20" x14ac:dyDescent="0.25">
      <c r="A364" s="1"/>
      <c r="C364" s="16"/>
      <c r="D364" s="2"/>
      <c r="F364" s="1"/>
      <c r="R364" s="1"/>
      <c r="S364" s="14" t="str">
        <f t="shared" si="14"/>
        <v/>
      </c>
      <c r="T364" t="str">
        <f t="shared" si="13"/>
        <v/>
      </c>
    </row>
    <row r="365" spans="1:20" x14ac:dyDescent="0.25">
      <c r="A365" s="1"/>
      <c r="C365" s="16"/>
      <c r="D365" s="2"/>
      <c r="F365" s="1"/>
      <c r="R365" s="1"/>
      <c r="S365" s="14" t="str">
        <f t="shared" si="14"/>
        <v/>
      </c>
      <c r="T365" t="str">
        <f t="shared" si="13"/>
        <v/>
      </c>
    </row>
    <row r="366" spans="1:20" x14ac:dyDescent="0.25">
      <c r="A366" s="1"/>
      <c r="C366" s="16"/>
      <c r="D366" s="2"/>
      <c r="F366" s="1"/>
      <c r="R366" s="1"/>
      <c r="S366" s="14" t="str">
        <f t="shared" si="14"/>
        <v/>
      </c>
      <c r="T366" t="str">
        <f t="shared" si="13"/>
        <v/>
      </c>
    </row>
    <row r="367" spans="1:20" x14ac:dyDescent="0.25">
      <c r="A367" s="1"/>
      <c r="C367" s="16"/>
      <c r="D367" s="2"/>
      <c r="F367" s="1"/>
      <c r="R367" s="1"/>
      <c r="S367" s="14" t="str">
        <f t="shared" si="14"/>
        <v/>
      </c>
      <c r="T367" t="str">
        <f t="shared" si="13"/>
        <v/>
      </c>
    </row>
    <row r="368" spans="1:20" x14ac:dyDescent="0.25">
      <c r="A368" s="1"/>
      <c r="C368" s="16"/>
      <c r="D368" s="2"/>
      <c r="F368" s="1"/>
      <c r="R368" s="1"/>
      <c r="S368" s="14" t="str">
        <f t="shared" si="14"/>
        <v/>
      </c>
      <c r="T368" t="str">
        <f t="shared" si="13"/>
        <v/>
      </c>
    </row>
    <row r="369" spans="1:20" x14ac:dyDescent="0.25">
      <c r="A369" s="1"/>
      <c r="C369" s="16"/>
      <c r="D369" s="2"/>
      <c r="F369" s="1"/>
      <c r="R369" s="1"/>
      <c r="S369" s="14" t="str">
        <f t="shared" si="14"/>
        <v/>
      </c>
      <c r="T369" t="str">
        <f t="shared" si="13"/>
        <v/>
      </c>
    </row>
    <row r="370" spans="1:20" x14ac:dyDescent="0.25">
      <c r="A370" s="1"/>
      <c r="C370" s="16"/>
      <c r="F370" s="1"/>
      <c r="R370" s="1"/>
      <c r="S370" s="14" t="str">
        <f t="shared" si="14"/>
        <v/>
      </c>
      <c r="T370" t="str">
        <f t="shared" si="13"/>
        <v/>
      </c>
    </row>
    <row r="371" spans="1:20" x14ac:dyDescent="0.25">
      <c r="A371" s="1"/>
      <c r="C371" s="16"/>
      <c r="D371" s="2"/>
      <c r="F371" s="1"/>
      <c r="R371" s="1"/>
      <c r="S371" s="14" t="str">
        <f t="shared" si="14"/>
        <v/>
      </c>
      <c r="T371" t="str">
        <f t="shared" si="13"/>
        <v/>
      </c>
    </row>
    <row r="372" spans="1:20" x14ac:dyDescent="0.25">
      <c r="A372" s="1"/>
      <c r="C372" s="16"/>
      <c r="D372" s="2"/>
      <c r="F372" s="1"/>
      <c r="R372" s="1"/>
      <c r="S372" s="14" t="str">
        <f t="shared" si="14"/>
        <v/>
      </c>
      <c r="T372" t="str">
        <f t="shared" ref="T372:T435" si="15">IF(S372="","",IF(S372=1,"Portfolio weights sum to 100%", "Portfolio weights do not sum to 100%."))</f>
        <v/>
      </c>
    </row>
    <row r="373" spans="1:20" x14ac:dyDescent="0.25">
      <c r="A373" s="1"/>
      <c r="C373" s="16"/>
      <c r="D373" s="2"/>
      <c r="F373" s="1"/>
      <c r="R373" s="1"/>
      <c r="S373" s="14" t="str">
        <f t="shared" si="14"/>
        <v/>
      </c>
      <c r="T373" t="str">
        <f t="shared" si="15"/>
        <v/>
      </c>
    </row>
    <row r="374" spans="1:20" x14ac:dyDescent="0.25">
      <c r="A374" s="1"/>
      <c r="C374" s="16"/>
      <c r="D374" s="2"/>
      <c r="F374" s="1"/>
      <c r="R374" s="1"/>
      <c r="S374" s="14" t="str">
        <f t="shared" si="14"/>
        <v/>
      </c>
      <c r="T374" t="str">
        <f t="shared" si="15"/>
        <v/>
      </c>
    </row>
    <row r="375" spans="1:20" x14ac:dyDescent="0.25">
      <c r="A375" s="1"/>
      <c r="C375" s="16"/>
      <c r="D375" s="2"/>
      <c r="F375" s="1"/>
      <c r="R375" s="1"/>
      <c r="S375" s="14" t="str">
        <f t="shared" si="14"/>
        <v/>
      </c>
      <c r="T375" t="str">
        <f t="shared" si="15"/>
        <v/>
      </c>
    </row>
    <row r="376" spans="1:20" x14ac:dyDescent="0.25">
      <c r="A376" s="1"/>
      <c r="C376" s="16"/>
      <c r="D376" s="2"/>
      <c r="F376" s="1"/>
      <c r="R376" s="1"/>
      <c r="S376" s="14" t="str">
        <f t="shared" si="14"/>
        <v/>
      </c>
      <c r="T376" t="str">
        <f t="shared" si="15"/>
        <v/>
      </c>
    </row>
    <row r="377" spans="1:20" x14ac:dyDescent="0.25">
      <c r="A377" s="1"/>
      <c r="C377" s="16"/>
      <c r="D377" s="2"/>
      <c r="F377" s="1"/>
      <c r="R377" s="1"/>
      <c r="S377" s="14" t="str">
        <f t="shared" si="14"/>
        <v/>
      </c>
      <c r="T377" t="str">
        <f t="shared" si="15"/>
        <v/>
      </c>
    </row>
    <row r="378" spans="1:20" x14ac:dyDescent="0.25">
      <c r="A378" s="1"/>
      <c r="C378" s="16"/>
      <c r="D378" s="2"/>
      <c r="F378" s="1"/>
      <c r="R378" s="1"/>
      <c r="S378" s="14" t="str">
        <f t="shared" si="14"/>
        <v/>
      </c>
      <c r="T378" t="str">
        <f t="shared" si="15"/>
        <v/>
      </c>
    </row>
    <row r="379" spans="1:20" x14ac:dyDescent="0.25">
      <c r="A379" s="1"/>
      <c r="C379" s="16"/>
      <c r="D379" s="2"/>
      <c r="F379" s="1"/>
      <c r="R379" s="1"/>
      <c r="S379" s="14" t="str">
        <f t="shared" si="14"/>
        <v/>
      </c>
      <c r="T379" t="str">
        <f t="shared" si="15"/>
        <v/>
      </c>
    </row>
    <row r="380" spans="1:20" x14ac:dyDescent="0.25">
      <c r="A380" s="1"/>
      <c r="C380" s="16"/>
      <c r="F380" s="1"/>
      <c r="R380" s="1"/>
      <c r="S380" s="14" t="str">
        <f t="shared" si="14"/>
        <v/>
      </c>
      <c r="T380" t="str">
        <f t="shared" si="15"/>
        <v/>
      </c>
    </row>
    <row r="381" spans="1:20" x14ac:dyDescent="0.25">
      <c r="A381" s="1"/>
      <c r="C381" s="16"/>
      <c r="D381" s="2"/>
      <c r="F381" s="1"/>
      <c r="R381" s="1"/>
      <c r="S381" s="14" t="str">
        <f t="shared" si="14"/>
        <v/>
      </c>
      <c r="T381" t="str">
        <f t="shared" si="15"/>
        <v/>
      </c>
    </row>
    <row r="382" spans="1:20" x14ac:dyDescent="0.25">
      <c r="A382" s="1"/>
      <c r="C382" s="16"/>
      <c r="D382" s="2"/>
      <c r="F382" s="1"/>
      <c r="R382" s="1"/>
      <c r="S382" s="14" t="str">
        <f t="shared" si="14"/>
        <v/>
      </c>
      <c r="T382" t="str">
        <f t="shared" si="15"/>
        <v/>
      </c>
    </row>
    <row r="383" spans="1:20" x14ac:dyDescent="0.25">
      <c r="A383" s="1"/>
      <c r="C383" s="16"/>
      <c r="D383" s="2"/>
      <c r="F383" s="1"/>
      <c r="R383" s="1"/>
      <c r="S383" s="14" t="str">
        <f t="shared" si="14"/>
        <v/>
      </c>
      <c r="T383" t="str">
        <f t="shared" si="15"/>
        <v/>
      </c>
    </row>
    <row r="384" spans="1:20" x14ac:dyDescent="0.25">
      <c r="A384" s="1"/>
      <c r="C384" s="16"/>
      <c r="D384" s="2"/>
      <c r="F384" s="1"/>
      <c r="R384" s="1"/>
      <c r="S384" s="14" t="str">
        <f t="shared" si="14"/>
        <v/>
      </c>
      <c r="T384" t="str">
        <f t="shared" si="15"/>
        <v/>
      </c>
    </row>
    <row r="385" spans="1:20" x14ac:dyDescent="0.25">
      <c r="A385" s="1"/>
      <c r="C385" s="16"/>
      <c r="D385" s="2"/>
      <c r="F385" s="1"/>
      <c r="R385" s="1"/>
      <c r="S385" s="14" t="str">
        <f t="shared" si="14"/>
        <v/>
      </c>
      <c r="T385" t="str">
        <f t="shared" si="15"/>
        <v/>
      </c>
    </row>
    <row r="386" spans="1:20" x14ac:dyDescent="0.25">
      <c r="A386" s="1"/>
      <c r="C386" s="16"/>
      <c r="D386" s="2"/>
      <c r="F386" s="1"/>
      <c r="R386" s="1"/>
      <c r="S386" s="14" t="str">
        <f t="shared" si="14"/>
        <v/>
      </c>
      <c r="T386" t="str">
        <f t="shared" si="15"/>
        <v/>
      </c>
    </row>
    <row r="387" spans="1:20" x14ac:dyDescent="0.25">
      <c r="A387" s="1"/>
      <c r="C387" s="16"/>
      <c r="D387" s="2"/>
      <c r="F387" s="1"/>
      <c r="R387" s="1"/>
      <c r="S387" s="14" t="str">
        <f t="shared" si="14"/>
        <v/>
      </c>
      <c r="T387" t="str">
        <f t="shared" si="15"/>
        <v/>
      </c>
    </row>
    <row r="388" spans="1:20" x14ac:dyDescent="0.25">
      <c r="A388" s="1"/>
      <c r="C388" s="16"/>
      <c r="D388" s="2"/>
      <c r="F388" s="1"/>
      <c r="R388" s="1"/>
      <c r="S388" s="14" t="str">
        <f t="shared" si="14"/>
        <v/>
      </c>
      <c r="T388" t="str">
        <f t="shared" si="15"/>
        <v/>
      </c>
    </row>
    <row r="389" spans="1:20" x14ac:dyDescent="0.25">
      <c r="A389" s="1"/>
      <c r="C389" s="16"/>
      <c r="D389" s="2"/>
      <c r="F389" s="1"/>
      <c r="R389" s="1"/>
      <c r="S389" s="14" t="str">
        <f t="shared" si="14"/>
        <v/>
      </c>
      <c r="T389" t="str">
        <f t="shared" si="15"/>
        <v/>
      </c>
    </row>
    <row r="390" spans="1:20" x14ac:dyDescent="0.25">
      <c r="A390" s="1"/>
      <c r="C390" s="16"/>
      <c r="F390" s="1"/>
      <c r="R390" s="1"/>
      <c r="S390" s="14" t="str">
        <f t="shared" si="14"/>
        <v/>
      </c>
      <c r="T390" t="str">
        <f t="shared" si="15"/>
        <v/>
      </c>
    </row>
    <row r="391" spans="1:20" x14ac:dyDescent="0.25">
      <c r="A391" s="1"/>
      <c r="C391" s="16"/>
      <c r="D391" s="2"/>
      <c r="F391" s="1"/>
      <c r="R391" s="1"/>
      <c r="S391" s="14" t="str">
        <f t="shared" si="14"/>
        <v/>
      </c>
      <c r="T391" t="str">
        <f t="shared" si="15"/>
        <v/>
      </c>
    </row>
    <row r="392" spans="1:20" x14ac:dyDescent="0.25">
      <c r="A392" s="1"/>
      <c r="C392" s="16"/>
      <c r="D392" s="2"/>
      <c r="F392" s="1"/>
      <c r="R392" s="1"/>
      <c r="S392" s="14" t="str">
        <f t="shared" si="14"/>
        <v/>
      </c>
      <c r="T392" t="str">
        <f t="shared" si="15"/>
        <v/>
      </c>
    </row>
    <row r="393" spans="1:20" x14ac:dyDescent="0.25">
      <c r="A393" s="1"/>
      <c r="C393" s="16"/>
      <c r="D393" s="2"/>
      <c r="F393" s="1"/>
      <c r="R393" s="1"/>
      <c r="S393" s="14" t="str">
        <f t="shared" si="14"/>
        <v/>
      </c>
      <c r="T393" t="str">
        <f t="shared" si="15"/>
        <v/>
      </c>
    </row>
    <row r="394" spans="1:20" x14ac:dyDescent="0.25">
      <c r="A394" s="1"/>
      <c r="C394" s="16"/>
      <c r="D394" s="2"/>
      <c r="F394" s="1"/>
      <c r="R394" s="1"/>
      <c r="S394" s="14" t="str">
        <f t="shared" si="14"/>
        <v/>
      </c>
      <c r="T394" t="str">
        <f t="shared" si="15"/>
        <v/>
      </c>
    </row>
    <row r="395" spans="1:20" x14ac:dyDescent="0.25">
      <c r="A395" s="1"/>
      <c r="C395" s="16"/>
      <c r="D395" s="2"/>
      <c r="F395" s="1"/>
      <c r="R395" s="1"/>
      <c r="S395" s="14" t="str">
        <f t="shared" si="14"/>
        <v/>
      </c>
      <c r="T395" t="str">
        <f t="shared" si="15"/>
        <v/>
      </c>
    </row>
    <row r="396" spans="1:20" x14ac:dyDescent="0.25">
      <c r="A396" s="1"/>
      <c r="C396" s="16"/>
      <c r="D396" s="2"/>
      <c r="F396" s="1"/>
      <c r="R396" s="1"/>
      <c r="S396" s="14" t="str">
        <f t="shared" si="14"/>
        <v/>
      </c>
      <c r="T396" t="str">
        <f t="shared" si="15"/>
        <v/>
      </c>
    </row>
    <row r="397" spans="1:20" x14ac:dyDescent="0.25">
      <c r="A397" s="1"/>
      <c r="C397" s="16"/>
      <c r="D397" s="2"/>
      <c r="F397" s="1"/>
      <c r="R397" s="1"/>
      <c r="S397" s="14" t="str">
        <f t="shared" si="14"/>
        <v/>
      </c>
      <c r="T397" t="str">
        <f t="shared" si="15"/>
        <v/>
      </c>
    </row>
    <row r="398" spans="1:20" x14ac:dyDescent="0.25">
      <c r="A398" s="1"/>
      <c r="C398" s="16"/>
      <c r="D398" s="2"/>
      <c r="F398" s="1"/>
      <c r="R398" s="1"/>
      <c r="S398" s="14" t="str">
        <f t="shared" si="14"/>
        <v/>
      </c>
      <c r="T398" t="str">
        <f t="shared" si="15"/>
        <v/>
      </c>
    </row>
    <row r="399" spans="1:20" x14ac:dyDescent="0.25">
      <c r="A399" s="1"/>
      <c r="C399" s="16"/>
      <c r="D399" s="2"/>
      <c r="F399" s="1"/>
      <c r="R399" s="1"/>
      <c r="S399" s="14" t="str">
        <f t="shared" si="14"/>
        <v/>
      </c>
      <c r="T399" t="str">
        <f t="shared" si="15"/>
        <v/>
      </c>
    </row>
    <row r="400" spans="1:20" x14ac:dyDescent="0.25">
      <c r="A400" s="1"/>
      <c r="C400" s="16"/>
      <c r="F400" s="1"/>
      <c r="R400" s="1"/>
      <c r="S400" s="14" t="str">
        <f t="shared" si="14"/>
        <v/>
      </c>
      <c r="T400" t="str">
        <f t="shared" si="15"/>
        <v/>
      </c>
    </row>
    <row r="401" spans="1:20" x14ac:dyDescent="0.25">
      <c r="A401" s="1"/>
      <c r="C401" s="15"/>
      <c r="F401" s="1"/>
      <c r="R401" s="1"/>
      <c r="S401" s="14" t="str">
        <f t="shared" si="14"/>
        <v/>
      </c>
      <c r="T401" t="str">
        <f t="shared" si="15"/>
        <v/>
      </c>
    </row>
    <row r="402" spans="1:20" x14ac:dyDescent="0.25">
      <c r="A402" s="1"/>
      <c r="C402" s="15"/>
      <c r="F402" s="1"/>
      <c r="R402" s="1"/>
      <c r="S402" s="14" t="str">
        <f t="shared" si="14"/>
        <v/>
      </c>
      <c r="T402" t="str">
        <f t="shared" si="15"/>
        <v/>
      </c>
    </row>
    <row r="403" spans="1:20" x14ac:dyDescent="0.25">
      <c r="A403" s="1"/>
      <c r="C403" s="15"/>
      <c r="F403" s="1"/>
      <c r="R403" s="1"/>
      <c r="S403" s="14" t="str">
        <f t="shared" si="14"/>
        <v/>
      </c>
      <c r="T403" t="str">
        <f t="shared" si="15"/>
        <v/>
      </c>
    </row>
    <row r="404" spans="1:20" x14ac:dyDescent="0.25">
      <c r="A404" s="1"/>
      <c r="C404" s="15"/>
      <c r="F404" s="1"/>
      <c r="R404" s="1"/>
      <c r="S404" s="14" t="str">
        <f t="shared" si="14"/>
        <v/>
      </c>
      <c r="T404" t="str">
        <f t="shared" si="15"/>
        <v/>
      </c>
    </row>
    <row r="405" spans="1:20" x14ac:dyDescent="0.25">
      <c r="A405" s="1"/>
      <c r="C405" s="15"/>
      <c r="F405" s="1"/>
      <c r="R405" s="1"/>
      <c r="S405" s="14" t="str">
        <f t="shared" si="14"/>
        <v/>
      </c>
      <c r="T405" t="str">
        <f t="shared" si="15"/>
        <v/>
      </c>
    </row>
    <row r="406" spans="1:20" x14ac:dyDescent="0.25">
      <c r="A406" s="1"/>
      <c r="C406" s="15"/>
      <c r="F406" s="1"/>
      <c r="R406" s="1"/>
      <c r="S406" s="14" t="str">
        <f t="shared" si="14"/>
        <v/>
      </c>
      <c r="T406" t="str">
        <f t="shared" si="15"/>
        <v/>
      </c>
    </row>
    <row r="407" spans="1:20" x14ac:dyDescent="0.25">
      <c r="A407" s="1"/>
      <c r="C407" s="15"/>
      <c r="F407" s="1"/>
      <c r="R407" s="1"/>
      <c r="S407" s="14" t="str">
        <f t="shared" si="14"/>
        <v/>
      </c>
      <c r="T407" t="str">
        <f t="shared" si="15"/>
        <v/>
      </c>
    </row>
    <row r="408" spans="1:20" x14ac:dyDescent="0.25">
      <c r="A408" s="1"/>
      <c r="C408" s="15"/>
      <c r="F408" s="1"/>
      <c r="R408" s="1"/>
      <c r="S408" s="14" t="str">
        <f t="shared" si="14"/>
        <v/>
      </c>
      <c r="T408" t="str">
        <f t="shared" si="15"/>
        <v/>
      </c>
    </row>
    <row r="409" spans="1:20" x14ac:dyDescent="0.25">
      <c r="A409" s="1"/>
      <c r="C409" s="15"/>
      <c r="F409" s="1"/>
      <c r="R409" s="1"/>
      <c r="S409" s="14" t="str">
        <f t="shared" si="14"/>
        <v/>
      </c>
      <c r="T409" t="str">
        <f t="shared" si="15"/>
        <v/>
      </c>
    </row>
    <row r="410" spans="1:20" x14ac:dyDescent="0.25">
      <c r="A410" s="1"/>
      <c r="C410" s="15"/>
      <c r="F410" s="1"/>
      <c r="R410" s="1"/>
      <c r="S410" s="14" t="str">
        <f t="shared" ref="S410:S473" si="16">IF(R410="","",SUMIF(A:A,R410,C:C))</f>
        <v/>
      </c>
      <c r="T410" t="str">
        <f t="shared" si="15"/>
        <v/>
      </c>
    </row>
    <row r="411" spans="1:20" x14ac:dyDescent="0.25">
      <c r="A411" s="1"/>
      <c r="C411" s="15"/>
      <c r="F411" s="1"/>
      <c r="R411" s="1"/>
      <c r="S411" s="14" t="str">
        <f t="shared" si="16"/>
        <v/>
      </c>
      <c r="T411" t="str">
        <f t="shared" si="15"/>
        <v/>
      </c>
    </row>
    <row r="412" spans="1:20" x14ac:dyDescent="0.25">
      <c r="A412" s="1"/>
      <c r="C412" s="15"/>
      <c r="F412" s="1"/>
      <c r="R412" s="1"/>
      <c r="S412" s="14" t="str">
        <f t="shared" si="16"/>
        <v/>
      </c>
      <c r="T412" t="str">
        <f t="shared" si="15"/>
        <v/>
      </c>
    </row>
    <row r="413" spans="1:20" x14ac:dyDescent="0.25">
      <c r="A413" s="1"/>
      <c r="C413" s="15"/>
      <c r="F413" s="1"/>
      <c r="R413" s="1"/>
      <c r="S413" s="14" t="str">
        <f t="shared" si="16"/>
        <v/>
      </c>
      <c r="T413" t="str">
        <f t="shared" si="15"/>
        <v/>
      </c>
    </row>
    <row r="414" spans="1:20" x14ac:dyDescent="0.25">
      <c r="A414" s="1"/>
      <c r="C414" s="15"/>
      <c r="F414" s="1"/>
      <c r="R414" s="1"/>
      <c r="S414" s="14" t="str">
        <f t="shared" si="16"/>
        <v/>
      </c>
      <c r="T414" t="str">
        <f t="shared" si="15"/>
        <v/>
      </c>
    </row>
    <row r="415" spans="1:20" x14ac:dyDescent="0.25">
      <c r="A415" s="1"/>
      <c r="C415" s="15"/>
      <c r="F415" s="1"/>
      <c r="R415" s="1"/>
      <c r="S415" s="14" t="str">
        <f t="shared" si="16"/>
        <v/>
      </c>
      <c r="T415" t="str">
        <f t="shared" si="15"/>
        <v/>
      </c>
    </row>
    <row r="416" spans="1:20" x14ac:dyDescent="0.25">
      <c r="A416" s="1"/>
      <c r="C416" s="15"/>
      <c r="F416" s="1"/>
      <c r="R416" s="1"/>
      <c r="S416" s="14" t="str">
        <f t="shared" si="16"/>
        <v/>
      </c>
      <c r="T416" t="str">
        <f t="shared" si="15"/>
        <v/>
      </c>
    </row>
    <row r="417" spans="1:20" x14ac:dyDescent="0.25">
      <c r="A417" s="1"/>
      <c r="C417" s="15"/>
      <c r="F417" s="1"/>
      <c r="R417" s="1"/>
      <c r="S417" s="14" t="str">
        <f t="shared" si="16"/>
        <v/>
      </c>
      <c r="T417" t="str">
        <f t="shared" si="15"/>
        <v/>
      </c>
    </row>
    <row r="418" spans="1:20" x14ac:dyDescent="0.25">
      <c r="A418" s="1"/>
      <c r="C418" s="15"/>
      <c r="F418" s="1"/>
      <c r="R418" s="1"/>
      <c r="S418" s="14" t="str">
        <f t="shared" si="16"/>
        <v/>
      </c>
      <c r="T418" t="str">
        <f t="shared" si="15"/>
        <v/>
      </c>
    </row>
    <row r="419" spans="1:20" x14ac:dyDescent="0.25">
      <c r="A419" s="1"/>
      <c r="C419" s="15"/>
      <c r="F419" s="1"/>
      <c r="R419" s="1"/>
      <c r="S419" s="14" t="str">
        <f t="shared" si="16"/>
        <v/>
      </c>
      <c r="T419" t="str">
        <f t="shared" si="15"/>
        <v/>
      </c>
    </row>
    <row r="420" spans="1:20" x14ac:dyDescent="0.25">
      <c r="A420" s="1"/>
      <c r="C420" s="15"/>
      <c r="F420" s="1"/>
      <c r="R420" s="1"/>
      <c r="S420" s="14" t="str">
        <f t="shared" si="16"/>
        <v/>
      </c>
      <c r="T420" t="str">
        <f t="shared" si="15"/>
        <v/>
      </c>
    </row>
    <row r="421" spans="1:20" x14ac:dyDescent="0.25">
      <c r="A421" s="1"/>
      <c r="C421" s="15"/>
      <c r="F421" s="1"/>
      <c r="R421" s="1"/>
      <c r="S421" s="14" t="str">
        <f t="shared" si="16"/>
        <v/>
      </c>
      <c r="T421" t="str">
        <f t="shared" si="15"/>
        <v/>
      </c>
    </row>
    <row r="422" spans="1:20" x14ac:dyDescent="0.25">
      <c r="A422" s="1"/>
      <c r="C422" s="15"/>
      <c r="F422" s="1"/>
      <c r="R422" s="1"/>
      <c r="S422" s="14" t="str">
        <f t="shared" si="16"/>
        <v/>
      </c>
      <c r="T422" t="str">
        <f t="shared" si="15"/>
        <v/>
      </c>
    </row>
    <row r="423" spans="1:20" x14ac:dyDescent="0.25">
      <c r="A423" s="1"/>
      <c r="C423" s="15"/>
      <c r="F423" s="1"/>
      <c r="R423" s="1"/>
      <c r="S423" s="14" t="str">
        <f t="shared" si="16"/>
        <v/>
      </c>
      <c r="T423" t="str">
        <f t="shared" si="15"/>
        <v/>
      </c>
    </row>
    <row r="424" spans="1:20" x14ac:dyDescent="0.25">
      <c r="A424" s="1"/>
      <c r="C424" s="15"/>
      <c r="F424" s="1"/>
      <c r="R424" s="1"/>
      <c r="S424" s="14" t="str">
        <f t="shared" si="16"/>
        <v/>
      </c>
      <c r="T424" t="str">
        <f t="shared" si="15"/>
        <v/>
      </c>
    </row>
    <row r="425" spans="1:20" x14ac:dyDescent="0.25">
      <c r="A425" s="1"/>
      <c r="C425" s="15"/>
      <c r="F425" s="1"/>
      <c r="R425" s="1"/>
      <c r="S425" s="14" t="str">
        <f t="shared" si="16"/>
        <v/>
      </c>
      <c r="T425" t="str">
        <f t="shared" si="15"/>
        <v/>
      </c>
    </row>
    <row r="426" spans="1:20" x14ac:dyDescent="0.25">
      <c r="A426" s="1"/>
      <c r="C426" s="15"/>
      <c r="F426" s="1"/>
      <c r="R426" s="1"/>
      <c r="S426" s="14" t="str">
        <f t="shared" si="16"/>
        <v/>
      </c>
      <c r="T426" t="str">
        <f t="shared" si="15"/>
        <v/>
      </c>
    </row>
    <row r="427" spans="1:20" x14ac:dyDescent="0.25">
      <c r="A427" s="1"/>
      <c r="C427" s="15"/>
      <c r="F427" s="1"/>
      <c r="R427" s="1"/>
      <c r="S427" s="14" t="str">
        <f t="shared" si="16"/>
        <v/>
      </c>
      <c r="T427" t="str">
        <f t="shared" si="15"/>
        <v/>
      </c>
    </row>
    <row r="428" spans="1:20" x14ac:dyDescent="0.25">
      <c r="A428" s="1"/>
      <c r="C428" s="15"/>
      <c r="F428" s="1"/>
      <c r="R428" s="1"/>
      <c r="S428" s="14" t="str">
        <f t="shared" si="16"/>
        <v/>
      </c>
      <c r="T428" t="str">
        <f t="shared" si="15"/>
        <v/>
      </c>
    </row>
    <row r="429" spans="1:20" x14ac:dyDescent="0.25">
      <c r="A429" s="1"/>
      <c r="C429" s="15"/>
      <c r="F429" s="1"/>
      <c r="R429" s="1"/>
      <c r="S429" s="14" t="str">
        <f t="shared" si="16"/>
        <v/>
      </c>
      <c r="T429" t="str">
        <f t="shared" si="15"/>
        <v/>
      </c>
    </row>
    <row r="430" spans="1:20" x14ac:dyDescent="0.25">
      <c r="A430" s="1"/>
      <c r="C430" s="15"/>
      <c r="F430" s="1"/>
      <c r="R430" s="1"/>
      <c r="S430" s="14" t="str">
        <f t="shared" si="16"/>
        <v/>
      </c>
      <c r="T430" t="str">
        <f t="shared" si="15"/>
        <v/>
      </c>
    </row>
    <row r="431" spans="1:20" x14ac:dyDescent="0.25">
      <c r="A431" s="1"/>
      <c r="C431" s="15"/>
      <c r="F431" s="1"/>
      <c r="R431" s="1"/>
      <c r="S431" s="14" t="str">
        <f t="shared" si="16"/>
        <v/>
      </c>
      <c r="T431" t="str">
        <f t="shared" si="15"/>
        <v/>
      </c>
    </row>
    <row r="432" spans="1:20" x14ac:dyDescent="0.25">
      <c r="A432" s="1"/>
      <c r="C432" s="15"/>
      <c r="F432" s="1"/>
      <c r="R432" s="1"/>
      <c r="S432" s="14" t="str">
        <f t="shared" si="16"/>
        <v/>
      </c>
      <c r="T432" t="str">
        <f t="shared" si="15"/>
        <v/>
      </c>
    </row>
    <row r="433" spans="1:20" x14ac:dyDescent="0.25">
      <c r="A433" s="1"/>
      <c r="C433" s="15"/>
      <c r="F433" s="1"/>
      <c r="R433" s="1"/>
      <c r="S433" s="14" t="str">
        <f t="shared" si="16"/>
        <v/>
      </c>
      <c r="T433" t="str">
        <f t="shared" si="15"/>
        <v/>
      </c>
    </row>
    <row r="434" spans="1:20" x14ac:dyDescent="0.25">
      <c r="A434" s="1"/>
      <c r="C434" s="15"/>
      <c r="F434" s="1"/>
      <c r="R434" s="1"/>
      <c r="S434" s="14" t="str">
        <f t="shared" si="16"/>
        <v/>
      </c>
      <c r="T434" t="str">
        <f t="shared" si="15"/>
        <v/>
      </c>
    </row>
    <row r="435" spans="1:20" x14ac:dyDescent="0.25">
      <c r="A435" s="1"/>
      <c r="C435" s="15"/>
      <c r="F435" s="1"/>
      <c r="R435" s="1"/>
      <c r="S435" s="14" t="str">
        <f t="shared" si="16"/>
        <v/>
      </c>
      <c r="T435" t="str">
        <f t="shared" si="15"/>
        <v/>
      </c>
    </row>
    <row r="436" spans="1:20" x14ac:dyDescent="0.25">
      <c r="A436" s="1"/>
      <c r="C436" s="15"/>
      <c r="F436" s="1"/>
      <c r="R436" s="1"/>
      <c r="S436" s="14" t="str">
        <f t="shared" si="16"/>
        <v/>
      </c>
      <c r="T436" t="str">
        <f t="shared" ref="T436:T478" si="17">IF(S436="","",IF(S436=1,"Portfolio weights sum to 100%", "Portfolio weights do not sum to 100%."))</f>
        <v/>
      </c>
    </row>
    <row r="437" spans="1:20" x14ac:dyDescent="0.25">
      <c r="A437" s="1"/>
      <c r="C437" s="15"/>
      <c r="F437" s="1"/>
      <c r="R437" s="1"/>
      <c r="S437" s="14" t="str">
        <f t="shared" si="16"/>
        <v/>
      </c>
      <c r="T437" t="str">
        <f t="shared" si="17"/>
        <v/>
      </c>
    </row>
    <row r="438" spans="1:20" x14ac:dyDescent="0.25">
      <c r="A438" s="1"/>
      <c r="C438" s="15"/>
      <c r="F438" s="1"/>
      <c r="R438" s="1"/>
      <c r="S438" s="14" t="str">
        <f t="shared" si="16"/>
        <v/>
      </c>
      <c r="T438" t="str">
        <f t="shared" si="17"/>
        <v/>
      </c>
    </row>
    <row r="439" spans="1:20" x14ac:dyDescent="0.25">
      <c r="A439" s="1"/>
      <c r="C439" s="15"/>
      <c r="F439" s="1"/>
      <c r="R439" s="1"/>
      <c r="S439" s="14" t="str">
        <f t="shared" si="16"/>
        <v/>
      </c>
      <c r="T439" t="str">
        <f t="shared" si="17"/>
        <v/>
      </c>
    </row>
    <row r="440" spans="1:20" x14ac:dyDescent="0.25">
      <c r="A440" s="1"/>
      <c r="C440" s="15"/>
      <c r="F440" s="1"/>
      <c r="R440" s="1"/>
      <c r="S440" s="14" t="str">
        <f t="shared" si="16"/>
        <v/>
      </c>
      <c r="T440" t="str">
        <f t="shared" si="17"/>
        <v/>
      </c>
    </row>
    <row r="441" spans="1:20" x14ac:dyDescent="0.25">
      <c r="A441" s="1"/>
      <c r="C441" s="15"/>
      <c r="F441" s="1"/>
      <c r="R441" s="1"/>
      <c r="S441" s="14" t="str">
        <f t="shared" si="16"/>
        <v/>
      </c>
      <c r="T441" t="str">
        <f t="shared" si="17"/>
        <v/>
      </c>
    </row>
    <row r="442" spans="1:20" x14ac:dyDescent="0.25">
      <c r="A442" s="1"/>
      <c r="C442" s="15"/>
      <c r="F442" s="1"/>
      <c r="R442" s="1"/>
      <c r="S442" s="14" t="str">
        <f t="shared" si="16"/>
        <v/>
      </c>
      <c r="T442" t="str">
        <f t="shared" si="17"/>
        <v/>
      </c>
    </row>
    <row r="443" spans="1:20" x14ac:dyDescent="0.25">
      <c r="A443" s="1"/>
      <c r="C443" s="15"/>
      <c r="F443" s="1"/>
      <c r="R443" s="1"/>
      <c r="S443" s="14" t="str">
        <f t="shared" si="16"/>
        <v/>
      </c>
      <c r="T443" t="str">
        <f t="shared" si="17"/>
        <v/>
      </c>
    </row>
    <row r="444" spans="1:20" x14ac:dyDescent="0.25">
      <c r="A444" s="1"/>
      <c r="C444" s="15"/>
      <c r="F444" s="1"/>
      <c r="R444" s="1"/>
      <c r="S444" s="14" t="str">
        <f t="shared" si="16"/>
        <v/>
      </c>
      <c r="T444" t="str">
        <f t="shared" si="17"/>
        <v/>
      </c>
    </row>
    <row r="445" spans="1:20" x14ac:dyDescent="0.25">
      <c r="A445" s="1"/>
      <c r="C445" s="15"/>
      <c r="F445" s="1"/>
      <c r="R445" s="1"/>
      <c r="S445" s="14" t="str">
        <f t="shared" si="16"/>
        <v/>
      </c>
      <c r="T445" t="str">
        <f t="shared" si="17"/>
        <v/>
      </c>
    </row>
    <row r="446" spans="1:20" x14ac:dyDescent="0.25">
      <c r="A446" s="1"/>
      <c r="C446" s="15"/>
      <c r="F446" s="1"/>
      <c r="R446" s="1"/>
      <c r="S446" s="14" t="str">
        <f t="shared" si="16"/>
        <v/>
      </c>
      <c r="T446" t="str">
        <f t="shared" si="17"/>
        <v/>
      </c>
    </row>
    <row r="447" spans="1:20" x14ac:dyDescent="0.25">
      <c r="A447" s="1"/>
      <c r="C447" s="15"/>
      <c r="F447" s="1"/>
      <c r="R447" s="1"/>
      <c r="S447" s="14" t="str">
        <f t="shared" si="16"/>
        <v/>
      </c>
      <c r="T447" t="str">
        <f t="shared" si="17"/>
        <v/>
      </c>
    </row>
    <row r="448" spans="1:20" x14ac:dyDescent="0.25">
      <c r="A448" s="1"/>
      <c r="C448" s="15"/>
      <c r="F448" s="1"/>
      <c r="R448" s="1"/>
      <c r="S448" s="14" t="str">
        <f t="shared" si="16"/>
        <v/>
      </c>
      <c r="T448" t="str">
        <f t="shared" si="17"/>
        <v/>
      </c>
    </row>
    <row r="449" spans="1:20" x14ac:dyDescent="0.25">
      <c r="A449" s="1"/>
      <c r="C449" s="15"/>
      <c r="F449" s="1"/>
      <c r="R449" s="1"/>
      <c r="S449" s="14" t="str">
        <f t="shared" si="16"/>
        <v/>
      </c>
      <c r="T449" t="str">
        <f t="shared" si="17"/>
        <v/>
      </c>
    </row>
    <row r="450" spans="1:20" x14ac:dyDescent="0.25">
      <c r="A450" s="1"/>
      <c r="C450" s="15"/>
      <c r="F450" s="1"/>
      <c r="R450" s="1"/>
      <c r="S450" s="14" t="str">
        <f t="shared" si="16"/>
        <v/>
      </c>
      <c r="T450" t="str">
        <f t="shared" si="17"/>
        <v/>
      </c>
    </row>
    <row r="451" spans="1:20" x14ac:dyDescent="0.25">
      <c r="A451" s="1"/>
      <c r="C451" s="15"/>
      <c r="F451" s="1"/>
      <c r="R451" s="1"/>
      <c r="S451" s="14" t="str">
        <f t="shared" si="16"/>
        <v/>
      </c>
      <c r="T451" t="str">
        <f t="shared" si="17"/>
        <v/>
      </c>
    </row>
    <row r="452" spans="1:20" x14ac:dyDescent="0.25">
      <c r="A452" s="1"/>
      <c r="C452" s="15"/>
      <c r="F452" s="1"/>
      <c r="R452" s="1"/>
      <c r="S452" s="14" t="str">
        <f t="shared" si="16"/>
        <v/>
      </c>
      <c r="T452" t="str">
        <f t="shared" si="17"/>
        <v/>
      </c>
    </row>
    <row r="453" spans="1:20" x14ac:dyDescent="0.25">
      <c r="A453" s="1"/>
      <c r="C453" s="15"/>
      <c r="F453" s="1"/>
      <c r="R453" s="1"/>
      <c r="S453" s="14" t="str">
        <f t="shared" si="16"/>
        <v/>
      </c>
      <c r="T453" t="str">
        <f t="shared" si="17"/>
        <v/>
      </c>
    </row>
    <row r="454" spans="1:20" x14ac:dyDescent="0.25">
      <c r="A454" s="1"/>
      <c r="C454" s="15"/>
      <c r="F454" s="1"/>
      <c r="R454" s="1"/>
      <c r="S454" s="14" t="str">
        <f t="shared" si="16"/>
        <v/>
      </c>
      <c r="T454" t="str">
        <f t="shared" si="17"/>
        <v/>
      </c>
    </row>
    <row r="455" spans="1:20" x14ac:dyDescent="0.25">
      <c r="A455" s="1"/>
      <c r="C455" s="15"/>
      <c r="F455" s="1"/>
      <c r="R455" s="1"/>
      <c r="S455" s="14" t="str">
        <f t="shared" si="16"/>
        <v/>
      </c>
      <c r="T455" t="str">
        <f t="shared" si="17"/>
        <v/>
      </c>
    </row>
    <row r="456" spans="1:20" x14ac:dyDescent="0.25">
      <c r="A456" s="1"/>
      <c r="C456" s="15"/>
      <c r="F456" s="1"/>
      <c r="R456" s="1"/>
      <c r="S456" s="14" t="str">
        <f t="shared" si="16"/>
        <v/>
      </c>
      <c r="T456" t="str">
        <f t="shared" si="17"/>
        <v/>
      </c>
    </row>
    <row r="457" spans="1:20" x14ac:dyDescent="0.25">
      <c r="A457" s="1"/>
      <c r="C457" s="15"/>
      <c r="F457" s="1"/>
      <c r="R457" s="1"/>
      <c r="S457" s="14" t="str">
        <f t="shared" si="16"/>
        <v/>
      </c>
      <c r="T457" t="str">
        <f t="shared" si="17"/>
        <v/>
      </c>
    </row>
    <row r="458" spans="1:20" x14ac:dyDescent="0.25">
      <c r="A458" s="1"/>
      <c r="C458" s="15"/>
      <c r="F458" s="1"/>
      <c r="R458" s="1"/>
      <c r="S458" s="14" t="str">
        <f t="shared" si="16"/>
        <v/>
      </c>
      <c r="T458" t="str">
        <f t="shared" si="17"/>
        <v/>
      </c>
    </row>
    <row r="459" spans="1:20" x14ac:dyDescent="0.25">
      <c r="A459" s="1"/>
      <c r="C459" s="15"/>
      <c r="F459" s="1"/>
      <c r="R459" s="1"/>
      <c r="S459" s="14" t="str">
        <f t="shared" si="16"/>
        <v/>
      </c>
      <c r="T459" t="str">
        <f t="shared" si="17"/>
        <v/>
      </c>
    </row>
    <row r="460" spans="1:20" x14ac:dyDescent="0.25">
      <c r="A460" s="1"/>
      <c r="C460" s="15"/>
      <c r="F460" s="1"/>
      <c r="R460" s="1"/>
      <c r="S460" s="14" t="str">
        <f t="shared" si="16"/>
        <v/>
      </c>
      <c r="T460" t="str">
        <f t="shared" si="17"/>
        <v/>
      </c>
    </row>
    <row r="461" spans="1:20" x14ac:dyDescent="0.25">
      <c r="A461" s="1"/>
      <c r="C461" s="15"/>
      <c r="F461" s="1"/>
      <c r="R461" s="1"/>
      <c r="S461" s="14" t="str">
        <f t="shared" si="16"/>
        <v/>
      </c>
      <c r="T461" t="str">
        <f t="shared" si="17"/>
        <v/>
      </c>
    </row>
    <row r="462" spans="1:20" x14ac:dyDescent="0.25">
      <c r="A462" s="1"/>
      <c r="C462" s="15"/>
      <c r="F462" s="1"/>
      <c r="R462" s="1"/>
      <c r="S462" s="14" t="str">
        <f t="shared" si="16"/>
        <v/>
      </c>
      <c r="T462" t="str">
        <f t="shared" si="17"/>
        <v/>
      </c>
    </row>
    <row r="463" spans="1:20" x14ac:dyDescent="0.25">
      <c r="A463" s="1"/>
      <c r="C463" s="15"/>
      <c r="F463" s="1"/>
      <c r="R463" s="1"/>
      <c r="S463" s="14" t="str">
        <f t="shared" si="16"/>
        <v/>
      </c>
      <c r="T463" t="str">
        <f t="shared" si="17"/>
        <v/>
      </c>
    </row>
    <row r="464" spans="1:20" x14ac:dyDescent="0.25">
      <c r="A464" s="1"/>
      <c r="C464" s="15"/>
      <c r="F464" s="1"/>
      <c r="R464" s="1"/>
      <c r="S464" s="14" t="str">
        <f t="shared" si="16"/>
        <v/>
      </c>
      <c r="T464" t="str">
        <f t="shared" si="17"/>
        <v/>
      </c>
    </row>
    <row r="465" spans="1:20" x14ac:dyDescent="0.25">
      <c r="A465" s="1"/>
      <c r="C465" s="15"/>
      <c r="F465" s="1"/>
      <c r="R465" s="1"/>
      <c r="S465" s="14" t="str">
        <f t="shared" si="16"/>
        <v/>
      </c>
      <c r="T465" t="str">
        <f t="shared" si="17"/>
        <v/>
      </c>
    </row>
    <row r="466" spans="1:20" x14ac:dyDescent="0.25">
      <c r="A466" s="1"/>
      <c r="C466" s="15"/>
      <c r="F466" s="1"/>
      <c r="R466" s="1"/>
      <c r="S466" s="14" t="str">
        <f t="shared" si="16"/>
        <v/>
      </c>
      <c r="T466" t="str">
        <f t="shared" si="17"/>
        <v/>
      </c>
    </row>
    <row r="467" spans="1:20" x14ac:dyDescent="0.25">
      <c r="A467" s="1"/>
      <c r="C467" s="15"/>
      <c r="F467" s="1"/>
      <c r="R467" s="1"/>
      <c r="S467" s="14" t="str">
        <f t="shared" si="16"/>
        <v/>
      </c>
      <c r="T467" t="str">
        <f t="shared" si="17"/>
        <v/>
      </c>
    </row>
    <row r="468" spans="1:20" x14ac:dyDescent="0.25">
      <c r="A468" s="1"/>
      <c r="C468" s="15"/>
      <c r="F468" s="1"/>
      <c r="R468" s="1"/>
      <c r="S468" s="14" t="str">
        <f t="shared" si="16"/>
        <v/>
      </c>
      <c r="T468" t="str">
        <f t="shared" si="17"/>
        <v/>
      </c>
    </row>
    <row r="469" spans="1:20" x14ac:dyDescent="0.25">
      <c r="A469" s="1"/>
      <c r="C469" s="15"/>
      <c r="F469" s="1"/>
      <c r="R469" s="1"/>
      <c r="S469" s="14" t="str">
        <f t="shared" si="16"/>
        <v/>
      </c>
      <c r="T469" t="str">
        <f t="shared" si="17"/>
        <v/>
      </c>
    </row>
    <row r="470" spans="1:20" x14ac:dyDescent="0.25">
      <c r="A470" s="1"/>
      <c r="C470" s="15"/>
      <c r="F470" s="1"/>
      <c r="R470" s="1"/>
      <c r="S470" s="14" t="str">
        <f t="shared" si="16"/>
        <v/>
      </c>
      <c r="T470" t="str">
        <f t="shared" si="17"/>
        <v/>
      </c>
    </row>
    <row r="471" spans="1:20" x14ac:dyDescent="0.25">
      <c r="A471" s="1"/>
      <c r="C471" s="15"/>
      <c r="F471" s="1"/>
      <c r="R471" s="1"/>
      <c r="S471" s="14" t="str">
        <f t="shared" si="16"/>
        <v/>
      </c>
      <c r="T471" t="str">
        <f t="shared" si="17"/>
        <v/>
      </c>
    </row>
    <row r="472" spans="1:20" x14ac:dyDescent="0.25">
      <c r="A472" s="1"/>
      <c r="C472" s="15"/>
      <c r="F472" s="1"/>
      <c r="R472" s="1"/>
      <c r="S472" s="14" t="str">
        <f t="shared" si="16"/>
        <v/>
      </c>
      <c r="T472" t="str">
        <f t="shared" si="17"/>
        <v/>
      </c>
    </row>
    <row r="473" spans="1:20" x14ac:dyDescent="0.25">
      <c r="A473" s="1"/>
      <c r="C473" s="15"/>
      <c r="F473" s="1"/>
      <c r="R473" s="1"/>
      <c r="S473" s="14" t="str">
        <f t="shared" si="16"/>
        <v/>
      </c>
      <c r="T473" t="str">
        <f t="shared" si="17"/>
        <v/>
      </c>
    </row>
    <row r="474" spans="1:20" x14ac:dyDescent="0.25">
      <c r="A474" s="1"/>
      <c r="C474" s="15"/>
      <c r="F474" s="1"/>
      <c r="R474" s="1"/>
      <c r="S474" s="14" t="str">
        <f t="shared" ref="S474:S537" si="18">IF(R474="","",SUMIF(A:A,R474,C:C))</f>
        <v/>
      </c>
      <c r="T474" t="str">
        <f t="shared" si="17"/>
        <v/>
      </c>
    </row>
    <row r="475" spans="1:20" x14ac:dyDescent="0.25">
      <c r="A475" s="1"/>
      <c r="C475" s="15"/>
      <c r="F475" s="1"/>
      <c r="R475" s="1"/>
      <c r="S475" s="14" t="str">
        <f t="shared" si="18"/>
        <v/>
      </c>
      <c r="T475" t="str">
        <f t="shared" si="17"/>
        <v/>
      </c>
    </row>
    <row r="476" spans="1:20" x14ac:dyDescent="0.25">
      <c r="A476" s="1"/>
      <c r="C476" s="15"/>
      <c r="F476" s="1"/>
      <c r="R476" s="1"/>
      <c r="S476" s="14" t="str">
        <f t="shared" si="18"/>
        <v/>
      </c>
      <c r="T476" t="str">
        <f t="shared" si="17"/>
        <v/>
      </c>
    </row>
    <row r="477" spans="1:20" x14ac:dyDescent="0.25">
      <c r="A477" s="1"/>
      <c r="C477" s="15"/>
      <c r="F477" s="1"/>
      <c r="R477" s="1"/>
      <c r="S477" s="14" t="str">
        <f t="shared" si="18"/>
        <v/>
      </c>
      <c r="T477" t="str">
        <f t="shared" si="17"/>
        <v/>
      </c>
    </row>
    <row r="478" spans="1:20" x14ac:dyDescent="0.25">
      <c r="A478" s="1"/>
      <c r="C478" s="15"/>
      <c r="F478" s="1"/>
      <c r="R478" s="1"/>
      <c r="S478" s="14" t="str">
        <f t="shared" si="18"/>
        <v/>
      </c>
      <c r="T478" t="str">
        <f t="shared" si="17"/>
        <v/>
      </c>
    </row>
    <row r="479" spans="1:20" x14ac:dyDescent="0.25">
      <c r="A479" s="1"/>
      <c r="C479" s="15"/>
      <c r="F479" s="1"/>
      <c r="R479" s="1"/>
      <c r="S479" s="14" t="str">
        <f t="shared" si="18"/>
        <v/>
      </c>
    </row>
    <row r="480" spans="1:20" x14ac:dyDescent="0.25">
      <c r="A480" s="1"/>
      <c r="C480" s="15"/>
      <c r="F480" s="1"/>
      <c r="R480" s="1"/>
      <c r="S480" s="14" t="str">
        <f t="shared" si="18"/>
        <v/>
      </c>
    </row>
    <row r="481" spans="1:19" x14ac:dyDescent="0.25">
      <c r="A481" s="1"/>
      <c r="C481" s="15"/>
      <c r="F481" s="1"/>
      <c r="R481" s="1"/>
      <c r="S481" s="14" t="str">
        <f t="shared" si="18"/>
        <v/>
      </c>
    </row>
    <row r="482" spans="1:19" x14ac:dyDescent="0.25">
      <c r="A482" s="1"/>
      <c r="C482" s="15"/>
      <c r="F482" s="1"/>
      <c r="R482" s="1"/>
      <c r="S482" s="14" t="str">
        <f t="shared" si="18"/>
        <v/>
      </c>
    </row>
    <row r="483" spans="1:19" x14ac:dyDescent="0.25">
      <c r="A483" s="1"/>
      <c r="C483" s="15"/>
      <c r="F483" s="1"/>
      <c r="R483" s="1"/>
      <c r="S483" s="14" t="str">
        <f t="shared" si="18"/>
        <v/>
      </c>
    </row>
    <row r="484" spans="1:19" x14ac:dyDescent="0.25">
      <c r="A484" s="1"/>
      <c r="C484" s="15"/>
      <c r="F484" s="1"/>
      <c r="R484" s="1"/>
      <c r="S484" s="14" t="str">
        <f t="shared" si="18"/>
        <v/>
      </c>
    </row>
    <row r="485" spans="1:19" x14ac:dyDescent="0.25">
      <c r="A485" s="1"/>
      <c r="C485" s="15"/>
      <c r="F485" s="1"/>
      <c r="R485" s="1"/>
      <c r="S485" s="14" t="str">
        <f t="shared" si="18"/>
        <v/>
      </c>
    </row>
    <row r="486" spans="1:19" x14ac:dyDescent="0.25">
      <c r="A486" s="1"/>
      <c r="C486" s="15"/>
      <c r="F486" s="1"/>
      <c r="R486" s="1"/>
      <c r="S486" s="14" t="str">
        <f t="shared" si="18"/>
        <v/>
      </c>
    </row>
    <row r="487" spans="1:19" x14ac:dyDescent="0.25">
      <c r="A487" s="1"/>
      <c r="C487" s="15"/>
      <c r="F487" s="1"/>
      <c r="R487" s="1"/>
      <c r="S487" s="14" t="str">
        <f t="shared" si="18"/>
        <v/>
      </c>
    </row>
    <row r="488" spans="1:19" x14ac:dyDescent="0.25">
      <c r="A488" s="1"/>
      <c r="C488" s="15"/>
      <c r="F488" s="1"/>
      <c r="R488" s="1"/>
      <c r="S488" s="14" t="str">
        <f t="shared" si="18"/>
        <v/>
      </c>
    </row>
    <row r="489" spans="1:19" x14ac:dyDescent="0.25">
      <c r="A489" s="1"/>
      <c r="C489" s="15"/>
      <c r="F489" s="1"/>
      <c r="R489" s="1"/>
      <c r="S489" s="14" t="str">
        <f t="shared" si="18"/>
        <v/>
      </c>
    </row>
    <row r="490" spans="1:19" x14ac:dyDescent="0.25">
      <c r="A490" s="1"/>
      <c r="C490" s="15"/>
      <c r="F490" s="1"/>
      <c r="R490" s="1"/>
      <c r="S490" s="14" t="str">
        <f t="shared" si="18"/>
        <v/>
      </c>
    </row>
    <row r="491" spans="1:19" x14ac:dyDescent="0.25">
      <c r="A491" s="1"/>
      <c r="C491" s="15"/>
      <c r="F491" s="1"/>
      <c r="R491" s="1"/>
      <c r="S491" s="14" t="str">
        <f t="shared" si="18"/>
        <v/>
      </c>
    </row>
    <row r="492" spans="1:19" x14ac:dyDescent="0.25">
      <c r="A492" s="1"/>
      <c r="C492" s="15"/>
      <c r="F492" s="1"/>
      <c r="R492" s="1"/>
      <c r="S492" s="14" t="str">
        <f t="shared" si="18"/>
        <v/>
      </c>
    </row>
    <row r="493" spans="1:19" x14ac:dyDescent="0.25">
      <c r="A493" s="1"/>
      <c r="C493" s="15"/>
      <c r="F493" s="1"/>
      <c r="R493" s="1"/>
      <c r="S493" s="14" t="str">
        <f t="shared" si="18"/>
        <v/>
      </c>
    </row>
    <row r="494" spans="1:19" x14ac:dyDescent="0.25">
      <c r="A494" s="1"/>
      <c r="C494" s="15"/>
      <c r="F494" s="1"/>
      <c r="R494" s="1"/>
      <c r="S494" s="14" t="str">
        <f t="shared" si="18"/>
        <v/>
      </c>
    </row>
    <row r="495" spans="1:19" x14ac:dyDescent="0.25">
      <c r="A495" s="1"/>
      <c r="C495" s="15"/>
      <c r="F495" s="1"/>
      <c r="R495" s="1"/>
      <c r="S495" s="14" t="str">
        <f t="shared" si="18"/>
        <v/>
      </c>
    </row>
    <row r="496" spans="1:19" x14ac:dyDescent="0.25">
      <c r="A496" s="1"/>
      <c r="C496" s="15"/>
      <c r="F496" s="1"/>
      <c r="R496" s="1"/>
      <c r="S496" s="14" t="str">
        <f t="shared" si="18"/>
        <v/>
      </c>
    </row>
    <row r="497" spans="1:19" x14ac:dyDescent="0.25">
      <c r="A497" s="1"/>
      <c r="C497" s="15"/>
      <c r="F497" s="1"/>
      <c r="R497" s="1"/>
      <c r="S497" s="14" t="str">
        <f t="shared" si="18"/>
        <v/>
      </c>
    </row>
    <row r="498" spans="1:19" x14ac:dyDescent="0.25">
      <c r="A498" s="1"/>
      <c r="C498" s="15"/>
      <c r="F498" s="1"/>
      <c r="R498" s="1"/>
      <c r="S498" s="14" t="str">
        <f t="shared" si="18"/>
        <v/>
      </c>
    </row>
    <row r="499" spans="1:19" x14ac:dyDescent="0.25">
      <c r="A499" s="1"/>
      <c r="C499" s="15"/>
      <c r="F499" s="1"/>
      <c r="R499" s="1"/>
      <c r="S499" s="14" t="str">
        <f t="shared" si="18"/>
        <v/>
      </c>
    </row>
    <row r="500" spans="1:19" x14ac:dyDescent="0.25">
      <c r="A500" s="1"/>
      <c r="C500" s="15"/>
      <c r="F500" s="1"/>
      <c r="R500" s="1"/>
      <c r="S500" s="14" t="str">
        <f t="shared" si="18"/>
        <v/>
      </c>
    </row>
    <row r="501" spans="1:19" x14ac:dyDescent="0.25">
      <c r="A501" s="1"/>
      <c r="C501" s="15"/>
      <c r="F501" s="1"/>
      <c r="R501" s="1"/>
      <c r="S501" s="14" t="str">
        <f t="shared" si="18"/>
        <v/>
      </c>
    </row>
    <row r="502" spans="1:19" x14ac:dyDescent="0.25">
      <c r="A502" s="1"/>
      <c r="C502" s="15"/>
      <c r="F502" s="1"/>
      <c r="R502" s="1"/>
      <c r="S502" s="14" t="str">
        <f t="shared" si="18"/>
        <v/>
      </c>
    </row>
    <row r="503" spans="1:19" x14ac:dyDescent="0.25">
      <c r="A503" s="1"/>
      <c r="C503" s="15"/>
      <c r="F503" s="1"/>
      <c r="R503" s="1"/>
      <c r="S503" s="14" t="str">
        <f t="shared" si="18"/>
        <v/>
      </c>
    </row>
    <row r="504" spans="1:19" x14ac:dyDescent="0.25">
      <c r="A504" s="1"/>
      <c r="C504" s="15"/>
      <c r="F504" s="1"/>
      <c r="R504" s="1"/>
      <c r="S504" s="14" t="str">
        <f t="shared" si="18"/>
        <v/>
      </c>
    </row>
    <row r="505" spans="1:19" x14ac:dyDescent="0.25">
      <c r="A505" s="1"/>
      <c r="C505" s="15"/>
      <c r="F505" s="1"/>
      <c r="R505" s="1"/>
      <c r="S505" s="14" t="str">
        <f t="shared" si="18"/>
        <v/>
      </c>
    </row>
    <row r="506" spans="1:19" x14ac:dyDescent="0.25">
      <c r="A506" s="1"/>
      <c r="C506" s="15"/>
      <c r="F506" s="1"/>
      <c r="R506" s="1"/>
      <c r="S506" s="14" t="str">
        <f t="shared" si="18"/>
        <v/>
      </c>
    </row>
    <row r="507" spans="1:19" x14ac:dyDescent="0.25">
      <c r="A507" s="1"/>
      <c r="C507" s="15"/>
      <c r="F507" s="1"/>
      <c r="R507" s="1"/>
      <c r="S507" s="14" t="str">
        <f t="shared" si="18"/>
        <v/>
      </c>
    </row>
    <row r="508" spans="1:19" x14ac:dyDescent="0.25">
      <c r="A508" s="1"/>
      <c r="C508" s="15"/>
      <c r="F508" s="1"/>
      <c r="R508" s="1"/>
      <c r="S508" s="14" t="str">
        <f t="shared" si="18"/>
        <v/>
      </c>
    </row>
    <row r="509" spans="1:19" x14ac:dyDescent="0.25">
      <c r="A509" s="1"/>
      <c r="C509" s="15"/>
      <c r="F509" s="1"/>
      <c r="R509" s="1"/>
      <c r="S509" s="14" t="str">
        <f t="shared" si="18"/>
        <v/>
      </c>
    </row>
    <row r="510" spans="1:19" x14ac:dyDescent="0.25">
      <c r="A510" s="1"/>
      <c r="C510" s="15"/>
      <c r="F510" s="1"/>
      <c r="R510" s="1"/>
      <c r="S510" s="14" t="str">
        <f t="shared" si="18"/>
        <v/>
      </c>
    </row>
    <row r="511" spans="1:19" x14ac:dyDescent="0.25">
      <c r="A511" s="1"/>
      <c r="C511" s="15"/>
      <c r="F511" s="1"/>
      <c r="R511" s="1"/>
      <c r="S511" s="14" t="str">
        <f t="shared" si="18"/>
        <v/>
      </c>
    </row>
    <row r="512" spans="1:19" x14ac:dyDescent="0.25">
      <c r="A512" s="1"/>
      <c r="C512" s="15"/>
      <c r="F512" s="1"/>
      <c r="R512" s="1"/>
      <c r="S512" s="14" t="str">
        <f t="shared" si="18"/>
        <v/>
      </c>
    </row>
    <row r="513" spans="1:19" x14ac:dyDescent="0.25">
      <c r="A513" s="1"/>
      <c r="C513" s="15"/>
      <c r="F513" s="1"/>
      <c r="R513" s="1"/>
      <c r="S513" s="14" t="str">
        <f t="shared" si="18"/>
        <v/>
      </c>
    </row>
    <row r="514" spans="1:19" x14ac:dyDescent="0.25">
      <c r="A514" s="1"/>
      <c r="C514" s="15"/>
      <c r="F514" s="1"/>
      <c r="R514" s="1"/>
      <c r="S514" s="14" t="str">
        <f t="shared" si="18"/>
        <v/>
      </c>
    </row>
    <row r="515" spans="1:19" x14ac:dyDescent="0.25">
      <c r="A515" s="1"/>
      <c r="C515" s="15"/>
      <c r="F515" s="1"/>
      <c r="R515" s="1"/>
      <c r="S515" s="14" t="str">
        <f t="shared" si="18"/>
        <v/>
      </c>
    </row>
    <row r="516" spans="1:19" x14ac:dyDescent="0.25">
      <c r="A516" s="1"/>
      <c r="C516" s="15"/>
      <c r="F516" s="1"/>
      <c r="R516" s="1"/>
      <c r="S516" s="14" t="str">
        <f t="shared" si="18"/>
        <v/>
      </c>
    </row>
    <row r="517" spans="1:19" x14ac:dyDescent="0.25">
      <c r="A517" s="1"/>
      <c r="C517" s="15"/>
      <c r="F517" s="1"/>
      <c r="R517" s="1"/>
      <c r="S517" s="14" t="str">
        <f t="shared" si="18"/>
        <v/>
      </c>
    </row>
    <row r="518" spans="1:19" x14ac:dyDescent="0.25">
      <c r="A518" s="1"/>
      <c r="C518" s="15"/>
      <c r="F518" s="1"/>
      <c r="R518" s="1"/>
      <c r="S518" s="14" t="str">
        <f t="shared" si="18"/>
        <v/>
      </c>
    </row>
    <row r="519" spans="1:19" x14ac:dyDescent="0.25">
      <c r="A519" s="1"/>
      <c r="C519" s="15"/>
      <c r="F519" s="1"/>
      <c r="R519" s="1"/>
      <c r="S519" s="14" t="str">
        <f t="shared" si="18"/>
        <v/>
      </c>
    </row>
    <row r="520" spans="1:19" x14ac:dyDescent="0.25">
      <c r="A520" s="1"/>
      <c r="C520" s="15"/>
      <c r="F520" s="1"/>
      <c r="R520" s="1"/>
      <c r="S520" s="14" t="str">
        <f t="shared" si="18"/>
        <v/>
      </c>
    </row>
    <row r="521" spans="1:19" x14ac:dyDescent="0.25">
      <c r="A521" s="1"/>
      <c r="C521" s="15"/>
      <c r="F521" s="1"/>
      <c r="R521" s="1"/>
      <c r="S521" s="14" t="str">
        <f t="shared" si="18"/>
        <v/>
      </c>
    </row>
    <row r="522" spans="1:19" x14ac:dyDescent="0.25">
      <c r="A522" s="1"/>
      <c r="C522" s="15"/>
      <c r="F522" s="1"/>
      <c r="R522" s="1"/>
      <c r="S522" s="14" t="str">
        <f t="shared" si="18"/>
        <v/>
      </c>
    </row>
    <row r="523" spans="1:19" x14ac:dyDescent="0.25">
      <c r="A523" s="1"/>
      <c r="C523" s="15"/>
      <c r="F523" s="1"/>
      <c r="R523" s="1"/>
      <c r="S523" s="14" t="str">
        <f t="shared" si="18"/>
        <v/>
      </c>
    </row>
    <row r="524" spans="1:19" x14ac:dyDescent="0.25">
      <c r="A524" s="1"/>
      <c r="C524" s="15"/>
      <c r="F524" s="1"/>
      <c r="R524" s="1"/>
      <c r="S524" s="14" t="str">
        <f t="shared" si="18"/>
        <v/>
      </c>
    </row>
    <row r="525" spans="1:19" x14ac:dyDescent="0.25">
      <c r="A525" s="1"/>
      <c r="C525" s="15"/>
      <c r="F525" s="1"/>
      <c r="R525" s="1"/>
      <c r="S525" s="14" t="str">
        <f t="shared" si="18"/>
        <v/>
      </c>
    </row>
    <row r="526" spans="1:19" x14ac:dyDescent="0.25">
      <c r="A526" s="1"/>
      <c r="C526" s="15"/>
      <c r="F526" s="1"/>
      <c r="R526" s="1"/>
      <c r="S526" s="14" t="str">
        <f t="shared" si="18"/>
        <v/>
      </c>
    </row>
    <row r="527" spans="1:19" x14ac:dyDescent="0.25">
      <c r="A527" s="1"/>
      <c r="C527" s="15"/>
      <c r="F527" s="1"/>
      <c r="R527" s="1"/>
      <c r="S527" s="14" t="str">
        <f t="shared" si="18"/>
        <v/>
      </c>
    </row>
    <row r="528" spans="1:19" x14ac:dyDescent="0.25">
      <c r="A528" s="1"/>
      <c r="C528" s="15"/>
      <c r="F528" s="1"/>
      <c r="R528" s="1"/>
      <c r="S528" s="14" t="str">
        <f t="shared" si="18"/>
        <v/>
      </c>
    </row>
    <row r="529" spans="1:19" x14ac:dyDescent="0.25">
      <c r="A529" s="1"/>
      <c r="C529" s="15"/>
      <c r="F529" s="1"/>
      <c r="R529" s="1"/>
      <c r="S529" s="14" t="str">
        <f t="shared" si="18"/>
        <v/>
      </c>
    </row>
    <row r="530" spans="1:19" x14ac:dyDescent="0.25">
      <c r="A530" s="1"/>
      <c r="C530" s="15"/>
      <c r="F530" s="1"/>
      <c r="R530" s="1"/>
      <c r="S530" s="14" t="str">
        <f t="shared" si="18"/>
        <v/>
      </c>
    </row>
    <row r="531" spans="1:19" x14ac:dyDescent="0.25">
      <c r="A531" s="1"/>
      <c r="C531" s="15"/>
      <c r="F531" s="1"/>
      <c r="R531" s="1"/>
      <c r="S531" s="14" t="str">
        <f t="shared" si="18"/>
        <v/>
      </c>
    </row>
    <row r="532" spans="1:19" x14ac:dyDescent="0.25">
      <c r="A532" s="1"/>
      <c r="C532" s="15"/>
      <c r="F532" s="1"/>
      <c r="R532" s="1"/>
      <c r="S532" s="14" t="str">
        <f t="shared" si="18"/>
        <v/>
      </c>
    </row>
    <row r="533" spans="1:19" x14ac:dyDescent="0.25">
      <c r="A533" s="1"/>
      <c r="C533" s="15"/>
      <c r="F533" s="1"/>
      <c r="R533" s="1"/>
      <c r="S533" s="14" t="str">
        <f t="shared" si="18"/>
        <v/>
      </c>
    </row>
    <row r="534" spans="1:19" x14ac:dyDescent="0.25">
      <c r="A534" s="1"/>
      <c r="C534" s="15"/>
      <c r="F534" s="1"/>
      <c r="R534" s="1"/>
      <c r="S534" s="14" t="str">
        <f t="shared" si="18"/>
        <v/>
      </c>
    </row>
    <row r="535" spans="1:19" x14ac:dyDescent="0.25">
      <c r="A535" s="1"/>
      <c r="C535" s="15"/>
      <c r="F535" s="1"/>
      <c r="R535" s="1"/>
      <c r="S535" s="14" t="str">
        <f t="shared" si="18"/>
        <v/>
      </c>
    </row>
    <row r="536" spans="1:19" x14ac:dyDescent="0.25">
      <c r="A536" s="1"/>
      <c r="C536" s="15"/>
      <c r="F536" s="1"/>
      <c r="R536" s="1"/>
      <c r="S536" s="14" t="str">
        <f t="shared" si="18"/>
        <v/>
      </c>
    </row>
    <row r="537" spans="1:19" x14ac:dyDescent="0.25">
      <c r="A537" s="1"/>
      <c r="C537" s="15"/>
      <c r="F537" s="1"/>
      <c r="R537" s="1"/>
      <c r="S537" s="14" t="str">
        <f t="shared" si="18"/>
        <v/>
      </c>
    </row>
    <row r="538" spans="1:19" x14ac:dyDescent="0.25">
      <c r="A538" s="1"/>
      <c r="C538" s="15"/>
      <c r="F538" s="1"/>
      <c r="R538" s="1"/>
      <c r="S538" s="14" t="str">
        <f t="shared" ref="S538:S601" si="19">IF(R538="","",SUMIF(A:A,R538,C:C))</f>
        <v/>
      </c>
    </row>
    <row r="539" spans="1:19" x14ac:dyDescent="0.25">
      <c r="A539" s="1"/>
      <c r="C539" s="15"/>
      <c r="F539" s="1"/>
      <c r="R539" s="1"/>
      <c r="S539" s="14" t="str">
        <f t="shared" si="19"/>
        <v/>
      </c>
    </row>
    <row r="540" spans="1:19" x14ac:dyDescent="0.25">
      <c r="A540" s="1"/>
      <c r="C540" s="15"/>
      <c r="F540" s="1"/>
      <c r="R540" s="1"/>
      <c r="S540" s="14" t="str">
        <f t="shared" si="19"/>
        <v/>
      </c>
    </row>
    <row r="541" spans="1:19" x14ac:dyDescent="0.25">
      <c r="A541" s="1"/>
      <c r="C541" s="15"/>
      <c r="F541" s="1"/>
      <c r="R541" s="1"/>
      <c r="S541" s="14" t="str">
        <f t="shared" si="19"/>
        <v/>
      </c>
    </row>
    <row r="542" spans="1:19" x14ac:dyDescent="0.25">
      <c r="A542" s="1"/>
      <c r="C542" s="15"/>
      <c r="F542" s="1"/>
      <c r="R542" s="1"/>
      <c r="S542" s="14" t="str">
        <f t="shared" si="19"/>
        <v/>
      </c>
    </row>
    <row r="543" spans="1:19" x14ac:dyDescent="0.25">
      <c r="A543" s="1"/>
      <c r="C543" s="15"/>
      <c r="F543" s="1"/>
      <c r="R543" s="1"/>
      <c r="S543" s="14" t="str">
        <f t="shared" si="19"/>
        <v/>
      </c>
    </row>
    <row r="544" spans="1:19" x14ac:dyDescent="0.25">
      <c r="A544" s="1"/>
      <c r="C544" s="15"/>
      <c r="F544" s="1"/>
      <c r="R544" s="1"/>
      <c r="S544" s="14" t="str">
        <f t="shared" si="19"/>
        <v/>
      </c>
    </row>
    <row r="545" spans="1:19" x14ac:dyDescent="0.25">
      <c r="A545" s="1"/>
      <c r="C545" s="15"/>
      <c r="F545" s="1"/>
      <c r="R545" s="1"/>
      <c r="S545" s="14" t="str">
        <f t="shared" si="19"/>
        <v/>
      </c>
    </row>
    <row r="546" spans="1:19" x14ac:dyDescent="0.25">
      <c r="A546" s="1"/>
      <c r="C546" s="15"/>
      <c r="F546" s="1"/>
      <c r="R546" s="1"/>
      <c r="S546" s="14" t="str">
        <f t="shared" si="19"/>
        <v/>
      </c>
    </row>
    <row r="547" spans="1:19" x14ac:dyDescent="0.25">
      <c r="A547" s="1"/>
      <c r="C547" s="15"/>
      <c r="F547" s="1"/>
      <c r="R547" s="1"/>
      <c r="S547" s="14" t="str">
        <f t="shared" si="19"/>
        <v/>
      </c>
    </row>
    <row r="548" spans="1:19" x14ac:dyDescent="0.25">
      <c r="A548" s="1"/>
      <c r="C548" s="15"/>
      <c r="F548" s="1"/>
      <c r="R548" s="1"/>
      <c r="S548" s="14" t="str">
        <f t="shared" si="19"/>
        <v/>
      </c>
    </row>
    <row r="549" spans="1:19" x14ac:dyDescent="0.25">
      <c r="A549" s="1"/>
      <c r="C549" s="15"/>
      <c r="F549" s="1"/>
      <c r="R549" s="1"/>
      <c r="S549" s="14" t="str">
        <f t="shared" si="19"/>
        <v/>
      </c>
    </row>
    <row r="550" spans="1:19" x14ac:dyDescent="0.25">
      <c r="A550" s="1"/>
      <c r="C550" s="15"/>
      <c r="F550" s="1"/>
      <c r="R550" s="1"/>
      <c r="S550" s="14" t="str">
        <f t="shared" si="19"/>
        <v/>
      </c>
    </row>
    <row r="551" spans="1:19" x14ac:dyDescent="0.25">
      <c r="A551" s="1"/>
      <c r="C551" s="15"/>
      <c r="F551" s="1"/>
      <c r="R551" s="1"/>
      <c r="S551" s="14" t="str">
        <f t="shared" si="19"/>
        <v/>
      </c>
    </row>
    <row r="552" spans="1:19" x14ac:dyDescent="0.25">
      <c r="A552" s="1"/>
      <c r="C552" s="15"/>
      <c r="F552" s="1"/>
      <c r="R552" s="1"/>
      <c r="S552" s="14" t="str">
        <f t="shared" si="19"/>
        <v/>
      </c>
    </row>
    <row r="553" spans="1:19" x14ac:dyDescent="0.25">
      <c r="A553" s="1"/>
      <c r="C553" s="15"/>
      <c r="F553" s="1"/>
      <c r="R553" s="1"/>
      <c r="S553" s="14" t="str">
        <f t="shared" si="19"/>
        <v/>
      </c>
    </row>
  </sheetData>
  <mergeCells count="1">
    <mergeCell ref="H1:O1"/>
  </mergeCells>
  <conditionalFormatting sqref="B207:B312">
    <cfRule type="duplicateValues" dxfId="0" priority="2"/>
    <cfRule type="duplicateValues" dxfId="1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15f1a85-cf22-41ca-bc2e-d11382083e5f}" enabled="1" method="Standard" siteId="{aa827ac4-4665-4dbb-98fa-fa4931a8470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DeCuffa</dc:creator>
  <cp:lastModifiedBy>GINN, JOHN ERIC. /GA105</cp:lastModifiedBy>
  <dcterms:created xsi:type="dcterms:W3CDTF">2023-12-31T15:03:20Z</dcterms:created>
  <dcterms:modified xsi:type="dcterms:W3CDTF">2026-09-15T19:47:44Z</dcterms:modified>
</cp:coreProperties>
</file>